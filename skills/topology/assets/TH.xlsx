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sheetData>
    <row r="1">
      <c r="A1" t="inlineStr">
        <is>
          <t>ID</t>
        </is>
      </c>
      <c r="B1" t="inlineStr">
        <is>
          <t>Name</t>
        </is>
      </c>
      <c r="C1" t="inlineStr">
        <is>
          <t>Type</t>
        </is>
      </c>
      <c r="D1" t="inlineStr">
        <is>
          <t>Visual_Features（aborted）</t>
        </is>
      </c>
      <c r="E1" t="inlineStr">
        <is>
          <t xml:space="preserve">Neighbors </t>
        </is>
      </c>
      <c r="F1" t="inlineStr">
        <is>
          <t>Images</t>
        </is>
      </c>
      <c r="G1" t="inlineStr">
        <is>
          <t>Visual_Features</t>
        </is>
      </c>
    </row>
    <row r="2">
      <c r="A2" t="inlineStr">
        <is>
          <t>TH-I-B01</t>
        </is>
      </c>
      <c r="B2" t="inlineStr">
        <is>
          <t>说明牌</t>
        </is>
      </c>
      <c r="C2" t="inlineStr">
        <is>
          <t>Text</t>
        </is>
      </c>
      <c r="D2" t="inlineStr">
        <is>
          <t>“祝大年的自然诗”，“聆听生命，森林之歌”，位于入口是观众进入展厅的第一空间，背景是树木四处伸展的枝丫。入口的设计体现了策展理念，为观众奠定了良好的参观基调。</t>
        </is>
      </c>
      <c r="E2" t="inlineStr">
        <is>
          <t>TH-E01</t>
        </is>
      </c>
      <c r="F2">
        <f>_xlfn.DISPIMG("ID_F27449B8F1E446D6815F3D32B2115A45",1)</f>
        <v/>
      </c>
      <c r="G2">
        <f>IF(ISNUMBER(FIND("的介绍",D2)),"墙面展签，印有展品名称“"&amp;LEFT(D2,FIND("的介绍",D2)-1)&amp;"”，无长文本。",D2)</f>
        <v/>
      </c>
    </row>
    <row r="3">
      <c r="A3" t="inlineStr">
        <is>
          <t>TH-E01</t>
        </is>
      </c>
      <c r="B3" t="inlineStr">
        <is>
          <t>入口</t>
        </is>
      </c>
      <c r="C3" t="inlineStr">
        <is>
          <t>Entrance</t>
        </is>
      </c>
      <c r="D3" t="inlineStr">
        <is>
          <t>金属栏杆，两边都是带花纹的墙，正对面看到的是画着枝繁叶茂的墙壁</t>
        </is>
      </c>
      <c r="E3" t="inlineStr">
        <is>
          <t>TH-B02</t>
        </is>
      </c>
      <c r="F3">
        <f>_xlfn.DISPIMG("ID_908EBE8EF9C245269FE431D6FD9DF18F",1)</f>
        <v/>
      </c>
      <c r="G3">
        <f>IF(ISNUMBER(FIND("的介绍",D3)),"墙面展签，印有展品名称“"&amp;LEFT(D3,FIND("的介绍",D3)-1)&amp;"”，无长文本。",D3)</f>
        <v/>
      </c>
    </row>
    <row r="4">
      <c r="A4" t="inlineStr">
        <is>
          <t>TH-B02</t>
        </is>
      </c>
      <c r="B4" t="inlineStr">
        <is>
          <t>原始森林</t>
        </is>
      </c>
      <c r="C4" t="inlineStr">
        <is>
          <t>Exhibit</t>
        </is>
      </c>
      <c r="D4" t="inlineStr">
        <is>
          <t>这是一幅精美的艺术画作，描绘了高大树木，枝繁叶茂的原始森林的场景。背景为白墙。作品采用传统绘画技法，色彩丰富，构图精巧，展现了艺术家深厚的功底和独特的审美视角。</t>
        </is>
      </c>
      <c r="E4" t="inlineStr">
        <is>
          <t>TH-E01</t>
        </is>
      </c>
      <c r="F4">
        <f>_xlfn.DISPIMG("ID_DCF2D0A7FC824532B6E85566FD97CFC9",1)</f>
        <v/>
      </c>
      <c r="G4">
        <f>IF(ISNUMBER(FIND("的介绍",D4)),"墙面展签，印有展品名称“"&amp;LEFT(D4,FIND("的介绍",D4)-1)&amp;"”，无长文本。",D4)</f>
        <v/>
      </c>
    </row>
    <row r="5">
      <c r="A5" t="inlineStr">
        <is>
          <t>TH-I-B03</t>
        </is>
      </c>
      <c r="B5" t="inlineStr">
        <is>
          <t>说明文字</t>
        </is>
      </c>
      <c r="C5" t="inlineStr">
        <is>
          <t>Text</t>
        </is>
      </c>
      <c r="D5" t="inlineStr">
        <is>
          <t>“原始森林”的展品名称，白墙这件作品通过独特的艺术表现形式，展现了深厚的文化底蕴和艺术家的创作理念，为观众提供了丰富的视觉体验和审美享受。</t>
        </is>
      </c>
      <c r="E5" t="inlineStr">
        <is>
          <t>TH-B01</t>
        </is>
      </c>
      <c r="F5">
        <f>_xlfn.DISPIMG("ID_82364622165B452CA826D03FAA25F7B2",1)</f>
        <v/>
      </c>
      <c r="G5">
        <f>IF(ISNUMBER(FIND("的介绍",D5)),"墙面展签，印有展品名称“"&amp;LEFT(D5,FIND("的介绍",D5)-1)&amp;"”，无长文本。",D5)</f>
        <v/>
      </c>
    </row>
    <row r="6">
      <c r="A6" t="inlineStr">
        <is>
          <t>TH-E02</t>
        </is>
      </c>
      <c r="B6" t="inlineStr">
        <is>
          <t>入口</t>
        </is>
      </c>
      <c r="C6" t="inlineStr">
        <is>
          <t>Entrance</t>
        </is>
      </c>
      <c r="D6" t="inlineStr">
        <is>
          <t>玻璃双扇门，带金属扶手这件作品通过独特的艺术表现形式，展现了深厚的文化底蕴和艺术家的创作理念，为观众提供了丰富的视觉体验和审美享受。</t>
        </is>
      </c>
      <c r="E6" t="inlineStr">
        <is>
          <t>TH-I-B01</t>
        </is>
      </c>
      <c r="F6">
        <f>_xlfn.DISPIMG("ID_9C32305EC90D4146A5EDD9D44D28352C",1)</f>
        <v/>
      </c>
      <c r="G6">
        <f>IF(ISNUMBER(FIND("的介绍",D6)),"墙面展签，印有展品名称“"&amp;LEFT(D6,FIND("的介绍",D6)-1)&amp;"”，无长文本。",D6)</f>
        <v/>
      </c>
    </row>
    <row r="7">
      <c r="A7" t="inlineStr">
        <is>
          <t>TH-B04</t>
        </is>
      </c>
      <c r="B7" t="inlineStr">
        <is>
          <t>根</t>
        </is>
      </c>
      <c r="C7" t="inlineStr">
        <is>
          <t>Exhibit</t>
        </is>
      </c>
      <c r="D7" t="inlineStr">
        <is>
          <t>一幅画着高大树木盘踞着错综复杂的树根的画,，挂在白墙中间这件作品通过独特的艺术表现形式，展现了深厚的文化底蕴和艺术家的创作理念，为观众提供了丰富的视觉体验和审美享受。</t>
        </is>
      </c>
      <c r="E7" t="inlineStr">
        <is>
          <t>TH-B03</t>
        </is>
      </c>
      <c r="F7">
        <f>_xlfn.DISPIMG("ID_CEB6BBE763544DE28460DB93D41F7697",1)</f>
        <v/>
      </c>
      <c r="G7">
        <f>IF(ISNUMBER(FIND("的介绍",D7)),"墙面展签，印有展品名称“"&amp;LEFT(D7,FIND("的介绍",D7)-1)&amp;"”，无长文本。",D7)</f>
        <v/>
      </c>
    </row>
    <row r="8">
      <c r="A8" t="inlineStr">
        <is>
          <t>TH-B05</t>
        </is>
      </c>
      <c r="B8" t="inlineStr">
        <is>
          <t>榕树老藤</t>
        </is>
      </c>
      <c r="C8" t="inlineStr">
        <is>
          <t>Exhibit</t>
        </is>
      </c>
      <c r="D8" t="inlineStr">
        <is>
          <t>这是一幅精美的艺术画作，描绘了榕树老藤的场景。挂在白墙中间。作品采用传统绘画技法，色彩丰富，构图精巧，展现了艺术家深厚的功底和独特的审美视角。</t>
        </is>
      </c>
      <c r="E8" t="inlineStr">
        <is>
          <t>TH-B04</t>
        </is>
      </c>
      <c r="F8">
        <f>_xlfn.DISPIMG("ID_624FE0898DEE452BAB3E39C966023459",1)</f>
        <v/>
      </c>
      <c r="G8">
        <f>IF(ISNUMBER(FIND("的介绍",D8)),"墙面展签，印有展品名称“"&amp;LEFT(D8,FIND("的介绍",D8)-1)&amp;"”，无长文本。",D8)</f>
        <v/>
      </c>
    </row>
    <row r="9">
      <c r="A9" t="inlineStr">
        <is>
          <t>TH-B06</t>
        </is>
      </c>
      <c r="B9" t="inlineStr">
        <is>
          <t>森林之歌</t>
        </is>
      </c>
      <c r="C9" t="inlineStr">
        <is>
          <t>Exhibit</t>
        </is>
      </c>
      <c r="D9" t="inlineStr">
        <is>
          <t>这是一幅精美的艺术画作，描绘了高耸树木，树枝交织在一起，小河上面有一只坐着人的游船的场景。该画挂在白墙中间。作品采用传统绘画技法，色彩丰富，构图精巧，展现了艺术家深厚的功底和独特的审美视角。</t>
        </is>
      </c>
      <c r="E9" t="inlineStr">
        <is>
          <t>TH-B03</t>
        </is>
      </c>
      <c r="F9">
        <f>_xlfn.DISPIMG("ID_271D88B03D7F4D9EB947DA16EBEF06C2",1)</f>
        <v/>
      </c>
      <c r="G9">
        <f>IF(ISNUMBER(FIND("的介绍",D9)),"墙面展签，印有展品名称“"&amp;LEFT(D9,FIND("的介绍",D9)-1)&amp;"”，无长文本。",D9)</f>
        <v/>
      </c>
    </row>
    <row r="10">
      <c r="A10" t="inlineStr">
        <is>
          <t>TH-I-B07</t>
        </is>
      </c>
      <c r="B10" t="inlineStr">
        <is>
          <t>说明牌</t>
        </is>
      </c>
      <c r="C10" t="inlineStr">
        <is>
          <t>Text</t>
        </is>
      </c>
      <c r="D10" t="inlineStr">
        <is>
          <t>“聆听生命，森林之歌”背景白色墙面这件作品通过独特的艺术表现形式，展现了深厚的文化底蕴和艺术家的创作理念，为观众提供了丰富的视觉体验和审美享受。</t>
        </is>
      </c>
      <c r="E10" t="inlineStr">
        <is>
          <t>TH-B01</t>
        </is>
      </c>
      <c r="F10">
        <f>_xlfn.DISPIMG("ID_40B788CE76F54F658E1DADECCE409108",1)</f>
        <v/>
      </c>
      <c r="G10">
        <f>IF(ISNUMBER(FIND("的介绍",D10)),"墙面展签，印有展品名称“"&amp;LEFT(D10,FIND("的介绍",D10)-1)&amp;"”，无长文本。",D10)</f>
        <v/>
      </c>
    </row>
    <row r="11">
      <c r="A11" t="inlineStr">
        <is>
          <t>TH-I-B08</t>
        </is>
      </c>
      <c r="B11" t="inlineStr">
        <is>
          <t>说明文字</t>
        </is>
      </c>
      <c r="C11" t="inlineStr">
        <is>
          <t>Text</t>
        </is>
      </c>
      <c r="D11" t="inlineStr">
        <is>
          <t>“根的展品介绍”，白墙这件作品通过独特的艺术表现形式，展现了深厚的文化底蕴和艺术家的创作理念，为观众提供了丰富的视觉体验和审美享受。</t>
        </is>
      </c>
      <c r="E11" t="inlineStr">
        <is>
          <t>TH-B02</t>
        </is>
      </c>
      <c r="F11">
        <f>_xlfn.DISPIMG("ID_FD94BF93BEA0448687C9A048C8BE9250",1)</f>
        <v/>
      </c>
      <c r="G11">
        <f>IF(ISNUMBER(FIND("的介绍",D11)),"墙面展签，印有展品名称“"&amp;LEFT(D11,FIND("的介绍",D11)-1)&amp;"”，无长文本。",D11)</f>
        <v/>
      </c>
    </row>
    <row r="12">
      <c r="A12" t="inlineStr">
        <is>
          <t>TH-I-B09</t>
        </is>
      </c>
      <c r="B12" t="inlineStr">
        <is>
          <t>说明文字</t>
        </is>
      </c>
      <c r="C12" t="inlineStr">
        <is>
          <t>Text</t>
        </is>
      </c>
      <c r="D12" t="inlineStr">
        <is>
          <t>“榕树老藤的展品介绍”，白墙这件作品通过独特的艺术表现形式，展现了深厚的文化底蕴和艺术家的创作理念，为观众提供了丰富的视觉体验和审美享受。</t>
        </is>
      </c>
      <c r="E12" t="inlineStr">
        <is>
          <t>TH-B05</t>
        </is>
      </c>
      <c r="F12">
        <f>_xlfn.DISPIMG("ID_F33E271F40E24269BE69C2868A10792F",1)</f>
        <v/>
      </c>
      <c r="G12">
        <f>IF(ISNUMBER(FIND("的介绍",D12)),"墙面展签，印有展品名称“"&amp;LEFT(D12,FIND("的介绍",D12)-1)&amp;"”，无长文本。",D12)</f>
        <v/>
      </c>
    </row>
    <row r="13">
      <c r="A13" t="inlineStr">
        <is>
          <t>TH-B10</t>
        </is>
      </c>
      <c r="B13" t="inlineStr">
        <is>
          <t>雁</t>
        </is>
      </c>
      <c r="C13" t="inlineStr">
        <is>
          <t>Exhibit</t>
        </is>
      </c>
      <c r="D13" t="inlineStr">
        <is>
          <t>这是一幅精美的艺术画作，描绘了三只雁的场景。画面展示了它不同姿态（飞行、行走、游水）的形象，该画挂在柱子上。作品采用传统绘画技法，色彩丰富，构图精巧，展现了艺术家深厚的功底和独特的审美视角。</t>
        </is>
      </c>
      <c r="E13" t="inlineStr">
        <is>
          <t>TH-B04</t>
        </is>
      </c>
      <c r="F13">
        <f>_xlfn.DISPIMG("ID_BF195170BD664D6FB9792865B8DFFCE2",1)</f>
        <v/>
      </c>
      <c r="G13">
        <f>IF(ISNUMBER(FIND("的介绍",D13)),"墙面展签，印有展品名称“"&amp;LEFT(D13,FIND("的介绍",D13)-1)&amp;"”，无长文本。",D13)</f>
        <v/>
      </c>
    </row>
    <row r="14">
      <c r="A14" t="inlineStr">
        <is>
          <t>TH-B11</t>
        </is>
      </c>
      <c r="B14" t="inlineStr">
        <is>
          <t>森林之歌手稿</t>
        </is>
      </c>
      <c r="C14" t="inlineStr">
        <is>
          <t>Exhibit</t>
        </is>
      </c>
      <c r="D14" t="inlineStr">
        <is>
          <t>这是一幅精美的艺术画作，描绘了树冠部分的场景。画中枝叶茂盛，该画位于黄色木花纹展台上。作品采用传统绘画技法，色彩丰富，构图精巧，展现了艺术家深厚的功底和独特的审美视角。</t>
        </is>
      </c>
      <c r="E14" t="inlineStr">
        <is>
          <t>TH-B05</t>
        </is>
      </c>
      <c r="F14">
        <f>_xlfn.DISPIMG("ID_FCF798204CAB4AC2A144F74E03560968",1)</f>
        <v/>
      </c>
      <c r="G14">
        <f>IF(ISNUMBER(FIND("的介绍",D14)),"墙面展签，印有展品名称“"&amp;LEFT(D14,FIND("的介绍",D14)-1)&amp;"”，无长文本。",D14)</f>
        <v/>
      </c>
    </row>
    <row r="15">
      <c r="A15" t="inlineStr">
        <is>
          <t>TH-B12</t>
        </is>
      </c>
      <c r="B15" t="inlineStr">
        <is>
          <t>森林之歌手稿</t>
        </is>
      </c>
      <c r="C15" t="inlineStr">
        <is>
          <t>Exhibit</t>
        </is>
      </c>
      <c r="D15" t="inlineStr">
        <is>
          <t>这是一幅精美的艺术画作，描绘了一个坐着的人的场景。该画位于黄色木花纹展台上。作品采用传统绘画技法，色彩丰富，构图精巧，展现了艺术家深厚的功底和独特的审美视角。</t>
        </is>
      </c>
      <c r="E15" t="inlineStr">
        <is>
          <t>TH-B06</t>
        </is>
      </c>
      <c r="F15">
        <f>_xlfn.DISPIMG("ID_B79CB542ADD94B32B7D5E22EC2D0A3BF",1)</f>
        <v/>
      </c>
      <c r="G15">
        <f>IF(ISNUMBER(FIND("的介绍",D15)),"墙面展签，印有展品名称“"&amp;LEFT(D15,FIND("的介绍",D15)-1)&amp;"”，无长文本。",D15)</f>
        <v/>
      </c>
    </row>
    <row r="16">
      <c r="A16" t="inlineStr">
        <is>
          <t>TH-B13</t>
        </is>
      </c>
      <c r="B16" t="inlineStr">
        <is>
          <t>森林之歌手稿</t>
        </is>
      </c>
      <c r="C16" t="inlineStr">
        <is>
          <t>Exhibit</t>
        </is>
      </c>
      <c r="D16" t="inlineStr">
        <is>
          <t>这是一幅精美的艺术画作，描绘了树枝交错的场景。该画立在黄色木头纹理的展台上。作品采用传统绘画技法，色彩丰富，构图精巧，展现了艺术家深厚的功底和独特的审美视角。</t>
        </is>
      </c>
      <c r="E16" t="inlineStr">
        <is>
          <t>TH-B07</t>
        </is>
      </c>
      <c r="F16">
        <f>_xlfn.DISPIMG("ID_0F6368BDD53A4D1B878CBECC72296E9D",1)</f>
        <v/>
      </c>
      <c r="G16">
        <f>IF(ISNUMBER(FIND("的介绍",D16)),"墙面展签，印有展品名称“"&amp;LEFT(D16,FIND("的介绍",D16)-1)&amp;"”，无长文本。",D16)</f>
        <v/>
      </c>
    </row>
    <row r="17">
      <c r="A17" t="inlineStr">
        <is>
          <t>TH-B14</t>
        </is>
      </c>
      <c r="B17" t="inlineStr">
        <is>
          <t>森林之歌手稿</t>
        </is>
      </c>
      <c r="C17" t="inlineStr">
        <is>
          <t>Exhibit</t>
        </is>
      </c>
      <c r="D17" t="inlineStr">
        <is>
          <t>这是一幅精美的艺术画作，描绘了树根部分的场景。该画位于黄色木花纹展台上。作品采用传统绘画技法，色彩丰富，构图精巧，展现了艺术家深厚的功底和独特的审美视角。</t>
        </is>
      </c>
      <c r="E17" t="inlineStr">
        <is>
          <t>TH-B08</t>
        </is>
      </c>
      <c r="F17">
        <f>_xlfn.DISPIMG("ID_FAA05ABC80934DDEB6CD9977BE07400E",1)</f>
        <v/>
      </c>
      <c r="G17">
        <f>IF(ISNUMBER(FIND("的介绍",D17)),"墙面展签，印有展品名称“"&amp;LEFT(D17,FIND("的介绍",D17)-1)&amp;"”，无长文本。",D17)</f>
        <v/>
      </c>
    </row>
    <row r="18">
      <c r="A18" t="inlineStr">
        <is>
          <t>TH-B15</t>
        </is>
      </c>
      <c r="B18" t="inlineStr">
        <is>
          <t>森林之歌手稿</t>
        </is>
      </c>
      <c r="C18" t="inlineStr">
        <is>
          <t>Exhibit</t>
        </is>
      </c>
      <c r="D18" t="inlineStr">
        <is>
          <t>这是一幅精美的艺术画作，描绘了一只船在江面上游行的场景。该画位于黄色木花纹展台上。作品采用传统绘画技法，色彩丰富，构图精巧，展现了艺术家深厚的功底和独特的审美视角。</t>
        </is>
      </c>
      <c r="E18" t="inlineStr">
        <is>
          <t>TH-B09</t>
        </is>
      </c>
      <c r="F18">
        <f>_xlfn.DISPIMG("ID_4567C25EF1A24ADF81A19D8BF8113746",1)</f>
        <v/>
      </c>
      <c r="G18">
        <f>IF(ISNUMBER(FIND("的介绍",D18)),"墙面展签，印有展品名称“"&amp;LEFT(D18,FIND("的介绍",D18)-1)&amp;"”，无长文本。",D18)</f>
        <v/>
      </c>
    </row>
    <row r="19">
      <c r="A19" t="inlineStr">
        <is>
          <t>TH-B16</t>
        </is>
      </c>
      <c r="B19" t="inlineStr">
        <is>
          <t>野鸭</t>
        </is>
      </c>
      <c r="C19" t="inlineStr">
        <is>
          <t>Exhibit</t>
        </is>
      </c>
      <c r="D19" t="inlineStr">
        <is>
          <t>这是一幅精美的艺术画作，描绘了拥有宽阔扁平的喙，以及蓝绿色翼镜、棕红色胸羽等色彩鲜明的羽毛的野鸭的场景。该画位于展厅中间的圆形柱子台上。作品采用传统绘画技法，色彩丰富，构图精巧，展现了艺术家深厚的功底和独特的审美视角。</t>
        </is>
      </c>
      <c r="E19" t="inlineStr">
        <is>
          <t>TH-B10</t>
        </is>
      </c>
      <c r="F19">
        <f>_xlfn.DISPIMG("ID_CF8B97588E0E4CF3A3370961FA7A14D3",1)</f>
        <v/>
      </c>
      <c r="G19">
        <f>IF(ISNUMBER(FIND("的介绍",D19)),"墙面展签，印有展品名称“"&amp;LEFT(D19,FIND("的介绍",D19)-1)&amp;"”，无长文本。",D19)</f>
        <v/>
      </c>
    </row>
    <row r="20">
      <c r="A20" t="inlineStr">
        <is>
          <t>TH-I-B17</t>
        </is>
      </c>
      <c r="B20" t="inlineStr">
        <is>
          <t>说明文字</t>
        </is>
      </c>
      <c r="C20" t="inlineStr">
        <is>
          <t>Text</t>
        </is>
      </c>
      <c r="D20" t="inlineStr">
        <is>
          <t>《森林之歌》的成功，当然还得力于祝先生在陶瓷方面的深厚造诣，因为祝先生同时是一位陶瓷专家，这幅壁画就是釉上彩烧制而成。可以说，《森林之歌》集中了祝先生的修养和才华，代表的祝先生的最高成就。—乔十光，白墙</t>
        </is>
      </c>
      <c r="E20" t="inlineStr">
        <is>
          <t>TH-I-B07</t>
        </is>
      </c>
      <c r="F20">
        <f>_xlfn.DISPIMG("ID_C7E656050CE84CA9B355DE3EFE8BF9A3",1)</f>
        <v/>
      </c>
      <c r="G20">
        <f>IF(ISNUMBER(FIND("的介绍",D20)),"墙面展签，印有展品名称“"&amp;LEFT(D20,FIND("的介绍",D20)-1)&amp;"”，无长文本。",D20)</f>
        <v/>
      </c>
    </row>
    <row r="21">
      <c r="A21" t="inlineStr">
        <is>
          <t>TH-I-B18</t>
        </is>
      </c>
      <c r="B21" t="inlineStr">
        <is>
          <t>说明文字</t>
        </is>
      </c>
      <c r="C21" t="inlineStr">
        <is>
          <t>Text</t>
        </is>
      </c>
      <c r="D21" t="inlineStr">
        <is>
          <t>森林之歌的介绍，白墙这件作品通过独特的艺术表现形式，展现了深厚的文化底蕴和艺术家的创作理念，为观众提供了丰富的视觉体验和审美享受。</t>
        </is>
      </c>
      <c r="E21" t="inlineStr">
        <is>
          <t>TH-B04</t>
        </is>
      </c>
      <c r="F21">
        <f>_xlfn.DISPIMG("ID_2B693754176C4C88ACC47C67985091C3",1)</f>
        <v/>
      </c>
      <c r="G21">
        <f>IF(ISNUMBER(FIND("的介绍",D21)),"墙面展签，印有展品名称“"&amp;LEFT(D21,FIND("的介绍",D21)-1)&amp;"”，无长文本。",D21)</f>
        <v/>
      </c>
    </row>
    <row r="22">
      <c r="A22" t="inlineStr">
        <is>
          <t>TH-B19</t>
        </is>
      </c>
      <c r="B22" t="inlineStr">
        <is>
          <t>四只白鹭</t>
        </is>
      </c>
      <c r="C22" t="inlineStr">
        <is>
          <t>Exhibit</t>
        </is>
      </c>
      <c r="D22" t="inlineStr">
        <is>
          <t>一幅画着四只飞行的鸟，并且还有一个盘坐地下的人，背景是树枝茂盛的森林的壁画</t>
        </is>
      </c>
      <c r="E22" t="inlineStr">
        <is>
          <t>TH-B11</t>
        </is>
      </c>
      <c r="F22">
        <f>_xlfn.DISPIMG("ID_F38BB213B58B4B008696CEA5B896B8C5",1)</f>
        <v/>
      </c>
      <c r="G22">
        <f>IF(ISNUMBER(FIND("的介绍",D22)),"墙面展签，印有展品名称“"&amp;LEFT(D22,FIND("的介绍",D22)-1)&amp;"”，无长文本。",D22)</f>
        <v/>
      </c>
    </row>
    <row r="23">
      <c r="A23" t="inlineStr">
        <is>
          <t>TH-B20</t>
        </is>
      </c>
      <c r="B23" t="inlineStr">
        <is>
          <t>四只大雁</t>
        </is>
      </c>
      <c r="C23" t="inlineStr">
        <is>
          <t>Exhibit</t>
        </is>
      </c>
      <c r="D23" t="inlineStr">
        <is>
          <t>这是一幅精美的艺术画作，描绘了四只正在飞行的大雁的场景。该画位于树枝茂盛的森林的壁画上。作品采用传统绘画技法，色彩丰富，构图精巧，展现了艺术家深厚的功底和独特的审美视角。</t>
        </is>
      </c>
      <c r="E23" t="inlineStr">
        <is>
          <t>TH-B12</t>
        </is>
      </c>
      <c r="F23">
        <f>_xlfn.DISPIMG("ID_FDFC0AA0FC2F4678B2DD7CE0FF75BB33",1)</f>
        <v/>
      </c>
      <c r="G23">
        <f>IF(ISNUMBER(FIND("的介绍",D23)),"墙面展签，印有展品名称“"&amp;LEFT(D23,FIND("的介绍",D23)-1)&amp;"”，无长文本。",D23)</f>
        <v/>
      </c>
    </row>
    <row r="24">
      <c r="A24" t="inlineStr">
        <is>
          <t>TH-B21</t>
        </is>
      </c>
      <c r="B24" t="inlineStr">
        <is>
          <t>鹭鸟</t>
        </is>
      </c>
      <c r="C24" t="inlineStr">
        <is>
          <t>Exhibit</t>
        </is>
      </c>
      <c r="D24" t="inlineStr">
        <is>
          <t>一副画着鸟的画，挂在巨幅彩画上这件作品通过独特的艺术表现形式，展现了深厚的文化底蕴和艺术家的创作理念，为观众提供了丰富的视觉体验和审美享受。</t>
        </is>
      </c>
      <c r="E24" t="inlineStr">
        <is>
          <t>TH-B06</t>
        </is>
      </c>
      <c r="F24">
        <f>_xlfn.DISPIMG("ID_5029E472713B4679A676CAC3D859D8B4",1)</f>
        <v/>
      </c>
      <c r="G24">
        <f>IF(ISNUMBER(FIND("的介绍",D24)),"墙面展签，印有展品名称“"&amp;LEFT(D24,FIND("的介绍",D24)-1)&amp;"”，无长文本。",D24)</f>
        <v/>
      </c>
    </row>
    <row r="25">
      <c r="A25" t="inlineStr">
        <is>
          <t>TH-B22</t>
        </is>
      </c>
      <c r="B25" t="inlineStr">
        <is>
          <t>小船</t>
        </is>
      </c>
      <c r="C25" t="inlineStr">
        <is>
          <t>Exhibit</t>
        </is>
      </c>
      <c r="D25" t="inlineStr">
        <is>
          <t>这是一幅精美的艺术画作，描绘了江中划着小船，船上坐着五个人的场景。该画位于树枝茂盛的森林的壁画上。作品采用传统绘画技法，色彩丰富，构图精巧，展现了艺术家深厚的功底和独特的审美视角。</t>
        </is>
      </c>
      <c r="E25" t="inlineStr">
        <is>
          <t>TH-B13</t>
        </is>
      </c>
      <c r="F25">
        <f>_xlfn.DISPIMG("ID_6962249AEB2D452CACA332910A05019E",1)</f>
        <v/>
      </c>
      <c r="G25">
        <f>IF(ISNUMBER(FIND("的介绍",D25)),"墙面展签，印有展品名称“"&amp;LEFT(D25,FIND("的介绍",D25)-1)&amp;"”，无长文本。",D25)</f>
        <v/>
      </c>
    </row>
    <row r="26">
      <c r="A26" t="inlineStr">
        <is>
          <t>TH-B23</t>
        </is>
      </c>
      <c r="B26" t="inlineStr">
        <is>
          <t>水果与船</t>
        </is>
      </c>
      <c r="C26" t="inlineStr">
        <is>
          <t>Exhibit</t>
        </is>
      </c>
      <c r="D26" t="inlineStr">
        <is>
          <t>一副画着水果香蕉、蛋黄果、船的画，挂在巨幅彩画上这件作品通过独特的艺术表现形式，展现了深厚的文化底蕴和艺术家的创作理念，为观众提供了丰富的视觉体验和审美享受。</t>
        </is>
      </c>
      <c r="E26" t="inlineStr">
        <is>
          <t>TH-B06</t>
        </is>
      </c>
      <c r="F26">
        <f>_xlfn.DISPIMG("ID_A1C69E9A7C7D4AFCB1F506605BF21250",1)</f>
        <v/>
      </c>
      <c r="G26">
        <f>IF(ISNUMBER(FIND("的介绍",D26)),"墙面展签，印有展品名称“"&amp;LEFT(D26,FIND("的介绍",D26)-1)&amp;"”，无长文本。",D26)</f>
        <v/>
      </c>
    </row>
    <row r="27">
      <c r="A27" t="inlineStr">
        <is>
          <t>TH-B24</t>
        </is>
      </c>
      <c r="B27" t="inlineStr">
        <is>
          <t>鸟类</t>
        </is>
      </c>
      <c r="C27" t="inlineStr">
        <is>
          <t>Exhibit</t>
        </is>
      </c>
      <c r="D27" t="inlineStr">
        <is>
          <t>另外一副画着鸟，鹦鹉的画，挂在巨幅彩画上这件作品通过独特的艺术表现形式，展现了深厚的文化底蕴和艺术家的创作理念，为观众提供了丰富的视觉体验和审美享受。</t>
        </is>
      </c>
      <c r="E27" t="inlineStr">
        <is>
          <t>TH-B06</t>
        </is>
      </c>
      <c r="F27">
        <f>_xlfn.DISPIMG("ID_10522E2405124B9EBFEB35ECAB4853AF",1)</f>
        <v/>
      </c>
      <c r="G27">
        <f>IF(ISNUMBER(FIND("的介绍",D27)),"墙面展签，印有展品名称“"&amp;LEFT(D27,FIND("的介绍",D27)-1)&amp;"”，无长文本。",D27)</f>
        <v/>
      </c>
    </row>
    <row r="28">
      <c r="A28" t="inlineStr">
        <is>
          <t>TH-B25</t>
        </is>
      </c>
      <c r="B28" t="inlineStr">
        <is>
          <t>两只白鹭</t>
        </is>
      </c>
      <c r="C28" t="inlineStr">
        <is>
          <t>Exhibit</t>
        </is>
      </c>
      <c r="D28" t="inlineStr">
        <is>
          <t>这是一幅精美的艺术画作，描绘了两只白鹭的场景。这幅画呈现了它站立和缩颈休息的典型姿态，该画位于树枝茂盛的森林的壁画上。作品采用传统绘画技法，色彩丰富，构图精巧，展现了艺术家深厚的功底和独特的审美视角。</t>
        </is>
      </c>
      <c r="E28" t="inlineStr">
        <is>
          <t>TH-B14</t>
        </is>
      </c>
      <c r="F28">
        <f>_xlfn.DISPIMG("ID_F98E84C1A96442E7ABF8FDD08CB175E2",1)</f>
        <v/>
      </c>
      <c r="G28">
        <f>IF(ISNUMBER(FIND("的介绍",D28)),"墙面展签，印有展品名称“"&amp;LEFT(D28,FIND("的介绍",D28)-1)&amp;"”，无长文本。",D28)</f>
        <v/>
      </c>
    </row>
    <row r="29">
      <c r="A29" t="inlineStr">
        <is>
          <t>TH-B26</t>
        </is>
      </c>
      <c r="B29" t="inlineStr">
        <is>
          <t>三只白鹭</t>
        </is>
      </c>
      <c r="C29" t="inlineStr">
        <is>
          <t>Exhibit</t>
        </is>
      </c>
      <c r="D29" t="inlineStr">
        <is>
          <t>一幅画着细长的喙、修长的腿和颈部的鹭，该画位于树枝茂盛的森林的壁画上</t>
        </is>
      </c>
      <c r="E29" t="inlineStr">
        <is>
          <t>TH-B15</t>
        </is>
      </c>
      <c r="F29">
        <f>_xlfn.DISPIMG("ID_15B2EC8889C14A678AB6AEACEE9FF64E",1)</f>
        <v/>
      </c>
      <c r="G29">
        <f>IF(ISNUMBER(FIND("的介绍",D29)),"墙面展签，印有展品名称“"&amp;LEFT(D29,FIND("的介绍",D29)-1)&amp;"”，无长文本。",D29)</f>
        <v/>
      </c>
    </row>
    <row r="30">
      <c r="A30" t="inlineStr">
        <is>
          <t>TH-B27</t>
        </is>
      </c>
      <c r="B30" t="inlineStr">
        <is>
          <t>一只白鹭</t>
        </is>
      </c>
      <c r="C30" t="inlineStr">
        <is>
          <t>Exhibit</t>
        </is>
      </c>
      <c r="D30" t="inlineStr">
        <is>
          <t>这是一幅精美的艺术画作，描绘了一只白鹭在水中行走姿态的场景。该画位于树枝茂盛的森林的壁画上。作品采用传统绘画技法，色彩丰富，构图精巧，展现了艺术家深厚的功底和独特的审美视角。</t>
        </is>
      </c>
      <c r="E30" t="inlineStr">
        <is>
          <t>TH-B16</t>
        </is>
      </c>
      <c r="F30">
        <f>_xlfn.DISPIMG("ID_347B44C6CA104E718A11DB91FC1BA9D0",1)</f>
        <v/>
      </c>
      <c r="G30">
        <f>IF(ISNUMBER(FIND("的介绍",D30)),"墙面展签，印有展品名称“"&amp;LEFT(D30,FIND("的介绍",D30)-1)&amp;"”，无长文本。",D30)</f>
        <v/>
      </c>
    </row>
    <row r="31">
      <c r="A31" t="inlineStr">
        <is>
          <t>TH-B28</t>
        </is>
      </c>
      <c r="B31" t="inlineStr">
        <is>
          <t>鸟</t>
        </is>
      </c>
      <c r="C31" t="inlineStr">
        <is>
          <t>Exhibit</t>
        </is>
      </c>
      <c r="D31" t="inlineStr">
        <is>
          <t>一副画着鸟的画，挂在巨幅彩画上这件作品通过独特的艺术表现形式，展现了深厚的文化底蕴和艺术家的创作理念，为观众提供了丰富的视觉体验和审美享受。</t>
        </is>
      </c>
      <c r="E31" t="inlineStr">
        <is>
          <t>TH-B06</t>
        </is>
      </c>
      <c r="F31">
        <f>_xlfn.DISPIMG("ID_6DE7007F7B7346289A173CBBE298C67E",1)</f>
        <v/>
      </c>
      <c r="G31">
        <f>IF(ISNUMBER(FIND("的介绍",D31)),"墙面展签，印有展品名称“"&amp;LEFT(D31,FIND("的介绍",D31)-1)&amp;"”，无长文本。",D31)</f>
        <v/>
      </c>
    </row>
    <row r="32">
      <c r="A32" t="inlineStr">
        <is>
          <t>TH-B29</t>
        </is>
      </c>
      <c r="B32" t="inlineStr">
        <is>
          <t>森林之歌（白描稿）</t>
        </is>
      </c>
      <c r="C32" t="inlineStr">
        <is>
          <t>Exhibit</t>
        </is>
      </c>
      <c r="D32" t="inlineStr">
        <is>
          <t>森林之歌展品的白描线条，位于展厅中央，平铺在地面这件作品通过独特的艺术表现形式，展现了深厚的文化底蕴和艺术家的创作理念，为观众提供了丰富的视觉体验和审美享受。</t>
        </is>
      </c>
      <c r="E32" t="inlineStr">
        <is>
          <t>TH-B06</t>
        </is>
      </c>
      <c r="F32">
        <f>_xlfn.DISPIMG("ID_7B22ECEC3CA24C5192642B26126E9425",1)</f>
        <v/>
      </c>
      <c r="G32">
        <f>IF(ISNUMBER(FIND("的介绍",D32)),"墙面展签，印有展品名称“"&amp;LEFT(D32,FIND("的介绍",D32)-1)&amp;"”，无长文本。",D32)</f>
        <v/>
      </c>
    </row>
    <row r="33">
      <c r="A33" t="inlineStr">
        <is>
          <t>TH-I-B30</t>
        </is>
      </c>
      <c r="B33" t="inlineStr">
        <is>
          <t>说明文字</t>
        </is>
      </c>
      <c r="C33" t="inlineStr">
        <is>
          <t>Text</t>
        </is>
      </c>
      <c r="D33" t="inlineStr">
        <is>
          <t>罗梭江畔的介绍，白墙这件作品通过独特的艺术表现形式，展现了深厚的文化底蕴和艺术家的创作理念，为观众提供了丰富的视觉体验和审美享受。</t>
        </is>
      </c>
      <c r="E33" t="inlineStr">
        <is>
          <t>TH-B17</t>
        </is>
      </c>
      <c r="F33">
        <f>_xlfn.DISPIMG("ID_594D158E699E4119822B04FC5B010219",1)</f>
        <v/>
      </c>
      <c r="G33">
        <f>IF(ISNUMBER(FIND("的介绍",D33)),"墙面展签，印有展品名称“"&amp;LEFT(D33,FIND("的介绍",D33)-1)&amp;"”，无长文本。",D33)</f>
        <v/>
      </c>
    </row>
    <row r="34">
      <c r="A34" t="inlineStr">
        <is>
          <t>TH-B31</t>
        </is>
      </c>
      <c r="B34" t="inlineStr">
        <is>
          <t>罗梭江畔</t>
        </is>
      </c>
      <c r="C34" t="inlineStr">
        <is>
          <t>Exhibit</t>
        </is>
      </c>
      <c r="D34" t="inlineStr">
        <is>
          <t>这是一幅精美的艺术画作，描绘了罗梭江边的场景。画里面有挑水的女人和江边高大的树木，挂在白墙右边。作品采用传统绘画技法，色彩丰富，构图精巧，展现了艺术家深厚的功底和独特的审美视角。</t>
        </is>
      </c>
      <c r="E34" t="inlineStr">
        <is>
          <t>TH-B17</t>
        </is>
      </c>
      <c r="F34">
        <f>_xlfn.DISPIMG("ID_68C6FDF959E6403FAA20ABE065FF4559",1)</f>
        <v/>
      </c>
      <c r="G34">
        <f>IF(ISNUMBER(FIND("的介绍",D34)),"墙面展签，印有展品名称“"&amp;LEFT(D34,FIND("的介绍",D34)-1)&amp;"”，无长文本。",D34)</f>
        <v/>
      </c>
    </row>
    <row r="35">
      <c r="A35" t="inlineStr">
        <is>
          <t>TH-B32</t>
        </is>
      </c>
      <c r="B35" t="inlineStr">
        <is>
          <t>腰鼓森林</t>
        </is>
      </c>
      <c r="C35" t="inlineStr">
        <is>
          <t>Exhibit</t>
        </is>
      </c>
      <c r="D35" t="inlineStr">
        <is>
          <t>这是一幅精美的艺术画作，描绘了江边种着高大棕榈树，女人在江边挑水的场景。挂在白墙中间。作品采用传统绘画技法，色彩丰富，构图精巧，展现了艺术家深厚的功底和独特的审美视角。</t>
        </is>
      </c>
      <c r="E35" t="inlineStr">
        <is>
          <t>TH-B18</t>
        </is>
      </c>
      <c r="F35">
        <f>_xlfn.DISPIMG("ID_752F8E0CFBD14725B669388506626127",1)</f>
        <v/>
      </c>
      <c r="G35">
        <f>IF(ISNUMBER(FIND("的介绍",D35)),"墙面展签，印有展品名称“"&amp;LEFT(D35,FIND("的介绍",D35)-1)&amp;"”，无长文本。",D35)</f>
        <v/>
      </c>
    </row>
    <row r="36">
      <c r="A36" t="inlineStr">
        <is>
          <t>TH-B33</t>
        </is>
      </c>
      <c r="B36" t="inlineStr">
        <is>
          <t>月夜棕榈</t>
        </is>
      </c>
      <c r="C36" t="inlineStr">
        <is>
          <t>Exhibit</t>
        </is>
      </c>
      <c r="D36" t="inlineStr">
        <is>
          <t>一幅画着高大茂密棕榈树的树林，在月色的笼罩下很静谧，挂在白墙左边</t>
        </is>
      </c>
      <c r="E36" t="inlineStr">
        <is>
          <t>TH-B19</t>
        </is>
      </c>
      <c r="F36">
        <f>_xlfn.DISPIMG("ID_32C9BA504C5142338AB60B265E58197D",1)</f>
        <v/>
      </c>
      <c r="G36">
        <f>IF(ISNUMBER(FIND("的介绍",D36)),"墙面展签，印有展品名称“"&amp;LEFT(D36,FIND("的介绍",D36)-1)&amp;"”，无长文本。",D36)</f>
        <v/>
      </c>
    </row>
    <row r="37">
      <c r="A37" t="inlineStr">
        <is>
          <t>TH-I-B34</t>
        </is>
      </c>
      <c r="B37" t="inlineStr">
        <is>
          <t>说明文字</t>
        </is>
      </c>
      <c r="C37" t="inlineStr">
        <is>
          <t>Text</t>
        </is>
      </c>
      <c r="D37" t="inlineStr">
        <is>
          <t>“月夜棕榈”是展品的名称，介绍了展品的时间和尺寸这件作品通过独特的艺术表现形式，展现了深厚的文化底蕴和艺术家的创作理念，为观众提供了丰富的视觉体验和审美享受。</t>
        </is>
      </c>
      <c r="E37" t="inlineStr">
        <is>
          <t>TH-B20</t>
        </is>
      </c>
      <c r="F37">
        <f>_xlfn.DISPIMG("ID_A9DA8D4044B14615994692E7E8410BCA",1)</f>
        <v/>
      </c>
      <c r="G37">
        <f>IF(ISNUMBER(FIND("的介绍",D37)),"墙面展签，印有展品名称“"&amp;LEFT(D37,FIND("的介绍",D37)-1)&amp;"”，无长文本。",D37)</f>
        <v/>
      </c>
    </row>
    <row r="38">
      <c r="A38" t="inlineStr">
        <is>
          <t>TH-I-B35</t>
        </is>
      </c>
      <c r="B38" t="inlineStr">
        <is>
          <t>说明文字</t>
        </is>
      </c>
      <c r="C38" t="inlineStr">
        <is>
          <t>Text</t>
        </is>
      </c>
      <c r="D38" t="inlineStr">
        <is>
          <t>祝大年对于自己作品的感悟和情感的抒发，这件作品通过独特的艺术表现形式，展现了深厚的文化底蕴和艺术家的创作理念，为观众提供了丰富的视觉体验和审美享受。</t>
        </is>
      </c>
      <c r="E38" t="inlineStr">
        <is>
          <t>TH-B20</t>
        </is>
      </c>
      <c r="F38">
        <f>_xlfn.DISPIMG("ID_AC93C4EDCB2B4646ABFABEE1E76DFB69",1)</f>
        <v/>
      </c>
      <c r="G38">
        <f>IF(ISNUMBER(FIND("的介绍",D38)),"墙面展签，印有展品名称“"&amp;LEFT(D38,FIND("的介绍",D38)-1)&amp;"”，无长文本。",D38)</f>
        <v/>
      </c>
    </row>
    <row r="39">
      <c r="A39" t="inlineStr">
        <is>
          <t>TH-I-B36</t>
        </is>
      </c>
      <c r="B39" t="inlineStr">
        <is>
          <t>说明文字</t>
        </is>
      </c>
      <c r="C39" t="inlineStr">
        <is>
          <t>Text</t>
        </is>
      </c>
      <c r="D39" t="inlineStr">
        <is>
          <t>迎客松的介绍，地面这件作品通过独特的艺术表现形式，展现了深厚的文化底蕴和艺术家的创作理念，为观众提供了丰富的视觉体验和审美享受。</t>
        </is>
      </c>
      <c r="E39" t="inlineStr">
        <is>
          <t>TH-B17</t>
        </is>
      </c>
      <c r="F39">
        <f>_xlfn.DISPIMG("ID_7C1890085DDC4F5AAE2A22FBEDFEF0F3",1)</f>
        <v/>
      </c>
      <c r="G39">
        <f>IF(ISNUMBER(FIND("的介绍",D39)),"墙面展签，印有展品名称“"&amp;LEFT(D39,FIND("的介绍",D39)-1)&amp;"”，无长文本。",D39)</f>
        <v/>
      </c>
    </row>
    <row r="40">
      <c r="A40" t="inlineStr">
        <is>
          <t>TH-B37</t>
        </is>
      </c>
      <c r="B40" t="inlineStr">
        <is>
          <t>迎客松</t>
        </is>
      </c>
      <c r="C40" t="inlineStr">
        <is>
          <t>Exhibit</t>
        </is>
      </c>
      <c r="D40" t="inlineStr">
        <is>
          <t>迎客松的展品画放在地面这件作品通过独特的艺术表现形式，展现了深厚的文化底蕴和艺术家的创作理念，为观众提供了丰富的视觉体验和审美享受。</t>
        </is>
      </c>
      <c r="E40" t="inlineStr">
        <is>
          <t>TH-I-B36</t>
        </is>
      </c>
      <c r="F40">
        <f>_xlfn.DISPIMG("ID_6B3EF178C3724C89860E3DCE96A19C16",1)</f>
        <v/>
      </c>
      <c r="G40">
        <f>IF(ISNUMBER(FIND("的介绍",D40)),"墙面展签，印有展品名称“"&amp;LEFT(D40,FIND("的介绍",D40)-1)&amp;"”，无长文本。",D40)</f>
        <v/>
      </c>
    </row>
    <row r="41">
      <c r="A41" t="inlineStr">
        <is>
          <t>TH-I-B38</t>
        </is>
      </c>
      <c r="B41" t="inlineStr">
        <is>
          <t>说明文字</t>
        </is>
      </c>
      <c r="C41" t="inlineStr">
        <is>
          <t>Text</t>
        </is>
      </c>
      <c r="D41" t="inlineStr">
        <is>
          <t>黄山的介绍，地面这件作品通过独特的艺术表现形式，展现了深厚的文化底蕴和艺术家的创作理念，为观众提供了丰富的视觉体验和审美享受。</t>
        </is>
      </c>
      <c r="E41" t="inlineStr">
        <is>
          <t>TH-B18</t>
        </is>
      </c>
      <c r="F41">
        <f>_xlfn.DISPIMG("ID_51021ED44C104E008CD06FD0A397E4B3",1)</f>
        <v/>
      </c>
      <c r="G41">
        <f>IF(ISNUMBER(FIND("的介绍",D41)),"墙面展签，印有展品名称“"&amp;LEFT(D41,FIND("的介绍",D41)-1)&amp;"”，无长文本。",D41)</f>
        <v/>
      </c>
    </row>
    <row r="42">
      <c r="A42" t="inlineStr">
        <is>
          <t>TH-B39</t>
        </is>
      </c>
      <c r="B42" t="inlineStr">
        <is>
          <t>黄山</t>
        </is>
      </c>
      <c r="C42" t="inlineStr">
        <is>
          <t>Exhibit</t>
        </is>
      </c>
      <c r="D42" t="inlineStr">
        <is>
          <t>黄山的展品画放在地面这件作品通过独特的艺术表现形式，展现了深厚的文化底蕴和艺术家的创作理念，为观众提供了丰富的视觉体验和审美享受。</t>
        </is>
      </c>
      <c r="E42" t="inlineStr">
        <is>
          <t>TH-I-B38</t>
        </is>
      </c>
      <c r="F42">
        <f>_xlfn.DISPIMG("ID_7DB08BFD375F494898300ADDE0D0F7A4",1)</f>
        <v/>
      </c>
      <c r="G42">
        <f>IF(ISNUMBER(FIND("的介绍",D42)),"墙面展签，印有展品名称“"&amp;LEFT(D42,FIND("的介绍",D42)-1)&amp;"”，无长文本。",D42)</f>
        <v/>
      </c>
    </row>
    <row r="43">
      <c r="A43" t="inlineStr">
        <is>
          <t>TH-I-B40</t>
        </is>
      </c>
      <c r="B43" t="inlineStr">
        <is>
          <t>说明文字</t>
        </is>
      </c>
      <c r="C43" t="inlineStr">
        <is>
          <t>Text</t>
        </is>
      </c>
      <c r="D43" t="inlineStr">
        <is>
          <t>黄山松的介绍，地面这件作品通过独特的艺术表现形式，展现了深厚的文化底蕴和艺术家的创作理念，为观众提供了丰富的视觉体验和审美享受。</t>
        </is>
      </c>
      <c r="E43" t="inlineStr">
        <is>
          <t>TH-B41</t>
        </is>
      </c>
      <c r="F43">
        <f>_xlfn.DISPIMG("ID_9299D6766B80431CAD1351703E1F6C03",1)</f>
        <v/>
      </c>
      <c r="G43">
        <f>IF(ISNUMBER(FIND("的介绍",D43)),"墙面展签，印有展品名称“"&amp;LEFT(D43,FIND("的介绍",D43)-1)&amp;"”，无长文本。",D43)</f>
        <v/>
      </c>
    </row>
    <row r="44">
      <c r="A44" t="inlineStr">
        <is>
          <t>TH-B41</t>
        </is>
      </c>
      <c r="B44" t="inlineStr">
        <is>
          <t>黄山松</t>
        </is>
      </c>
      <c r="C44" t="inlineStr">
        <is>
          <t>Exhibit</t>
        </is>
      </c>
      <c r="D44" t="inlineStr">
        <is>
          <t>黄山松的展品画放在地面这件作品通过独特的艺术表现形式，展现了深厚的文化底蕴和艺术家的创作理念，为观众提供了丰富的视觉体验和审美享受。</t>
        </is>
      </c>
      <c r="E44" t="inlineStr">
        <is>
          <t>TH-I-B40</t>
        </is>
      </c>
      <c r="F44">
        <f>_xlfn.DISPIMG("ID_9299D6766B80431CAD1351703E1F6C03",1)</f>
        <v/>
      </c>
      <c r="G44">
        <f>IF(ISNUMBER(FIND("的介绍",D44)),"墙面展签，印有展品名称“"&amp;LEFT(D44,FIND("的介绍",D44)-1)&amp;"”，无长文本。",D44)</f>
        <v/>
      </c>
    </row>
    <row r="45">
      <c r="A45" t="inlineStr">
        <is>
          <t>TH-I-B42</t>
        </is>
      </c>
      <c r="B45" t="inlineStr">
        <is>
          <t>说明文字</t>
        </is>
      </c>
      <c r="C45" t="inlineStr">
        <is>
          <t>Text</t>
        </is>
      </c>
      <c r="D45" t="inlineStr">
        <is>
          <t>腰鼓森林的介绍，白墙这件作品通过独特的艺术表现形式，展现了深厚的文化底蕴和艺术家的创作理念，为观众提供了丰富的视觉体验和审美享受。</t>
        </is>
      </c>
      <c r="E45" t="inlineStr">
        <is>
          <t>TH-B32</t>
        </is>
      </c>
      <c r="F45">
        <f>_xlfn.DISPIMG("ID_42558B6AD3C04B8C8FA9596D24DF67AE",1)</f>
        <v/>
      </c>
      <c r="G45">
        <f>IF(ISNUMBER(FIND("的介绍",D45)),"墙面展签，印有展品名称“"&amp;LEFT(D45,FIND("的介绍",D45)-1)&amp;"”，无长文本。",D45)</f>
        <v/>
      </c>
    </row>
    <row r="46">
      <c r="A46" t="inlineStr">
        <is>
          <t>TH-B43</t>
        </is>
      </c>
      <c r="B46" t="inlineStr">
        <is>
          <t>西双版纳</t>
        </is>
      </c>
      <c r="C46" t="inlineStr">
        <is>
          <t>Exhibit</t>
        </is>
      </c>
      <c r="D46" t="inlineStr">
        <is>
          <t>这是一幅精美的艺术画作，描绘了西双版纳热带雨林的场景。上面有正在劳作的人，画位于墙面靠右，。作品采用传统绘画技法，色彩丰富，构图精巧，展现了艺术家深厚的功底和独特的审美视角。</t>
        </is>
      </c>
      <c r="E46" t="inlineStr">
        <is>
          <t>TH-I-B44</t>
        </is>
      </c>
      <c r="F46">
        <f>_xlfn.DISPIMG("ID_C3710B9E59A9402C8B275F8A4C00EC1D",1)</f>
        <v/>
      </c>
      <c r="G46">
        <f>IF(ISNUMBER(FIND("的介绍",D46)),"墙面展签，印有展品名称“"&amp;LEFT(D46,FIND("的介绍",D46)-1)&amp;"”，无长文本。",D46)</f>
        <v/>
      </c>
    </row>
    <row r="47">
      <c r="A47" t="inlineStr">
        <is>
          <t>TH-I-B44</t>
        </is>
      </c>
      <c r="B47" t="inlineStr">
        <is>
          <t>说明文字</t>
        </is>
      </c>
      <c r="C47" t="inlineStr">
        <is>
          <t>Text</t>
        </is>
      </c>
      <c r="D47" t="inlineStr">
        <is>
          <t>“西双版纳”展品的名称，背景白墙这件作品通过独特的艺术表现形式，展现了深厚的文化底蕴和艺术家的创作理念，为观众提供了丰富的视觉体验和审美享受。</t>
        </is>
      </c>
      <c r="E47" t="inlineStr">
        <is>
          <t>TH-B43</t>
        </is>
      </c>
      <c r="F47">
        <f>_xlfn.DISPIMG("ID_159E15B8403144B28B98ABBA5CA4C2FB",1)</f>
        <v/>
      </c>
      <c r="G47">
        <f>IF(ISNUMBER(FIND("的介绍",D47)),"墙面展签，印有展品名称“"&amp;LEFT(D47,FIND("的介绍",D47)-1)&amp;"”，无长文本。",D47)</f>
        <v/>
      </c>
    </row>
    <row r="48">
      <c r="A48" t="inlineStr">
        <is>
          <t>TH-I-B45</t>
        </is>
      </c>
      <c r="B48" t="inlineStr">
        <is>
          <t>说明文字</t>
        </is>
      </c>
      <c r="C48" t="inlineStr">
        <is>
          <t>Text</t>
        </is>
      </c>
      <c r="D48" t="inlineStr">
        <is>
          <t>“松竹海的展品名称”，白墙这件作品通过独特的艺术表现形式，展现了深厚的文化底蕴和艺术家的创作理念，为观众提供了丰富的视觉体验和审美享受。</t>
        </is>
      </c>
      <c r="E48" t="inlineStr">
        <is>
          <t>TH-B46</t>
        </is>
      </c>
      <c r="F48">
        <f>_xlfn.DISPIMG("ID_F3C3A71C14694BB48C9EABA2119F31B4",1)</f>
        <v/>
      </c>
      <c r="G48">
        <f>IF(ISNUMBER(FIND("的介绍",D48)),"墙面展签，印有展品名称“"&amp;LEFT(D48,FIND("的介绍",D48)-1)&amp;"”，无长文本。",D48)</f>
        <v/>
      </c>
    </row>
    <row r="49">
      <c r="A49" t="inlineStr">
        <is>
          <t>TH-B46</t>
        </is>
      </c>
      <c r="B49" t="inlineStr">
        <is>
          <t>松竹海</t>
        </is>
      </c>
      <c r="C49" t="inlineStr">
        <is>
          <t>Exhibit</t>
        </is>
      </c>
      <c r="D49" t="inlineStr">
        <is>
          <t>这是一幅艺术绘画作品，主题为上面画着松树和竹子。挂在白墙中间。画作通过细腻的笔触和丰富的色彩，营造出独特的艺术氛围和视觉体验。</t>
        </is>
      </c>
      <c r="E49" t="inlineStr">
        <is>
          <t>TH-I-B45</t>
        </is>
      </c>
      <c r="F49">
        <f>_xlfn.DISPIMG("ID_4E3D0ADC03F64CCBAEA754CE486095A9",1)</f>
        <v/>
      </c>
      <c r="G49">
        <f>IF(ISNUMBER(FIND("的介绍",D49)),"墙面展签，印有展品名称“"&amp;LEFT(D49,FIND("的介绍",D49)-1)&amp;"”，无长文本。",D49)</f>
        <v/>
      </c>
    </row>
    <row r="50">
      <c r="A50" t="inlineStr">
        <is>
          <t>TH-I-B47</t>
        </is>
      </c>
      <c r="B50" t="inlineStr">
        <is>
          <t>说明文字</t>
        </is>
      </c>
      <c r="C50" t="inlineStr">
        <is>
          <t>Text</t>
        </is>
      </c>
      <c r="D50" t="inlineStr">
        <is>
          <t>绿荫的介绍，地面这件作品通过独特的艺术表现形式，展现了深厚的文化底蕴和艺术家的创作理念，为观众提供了丰富的视觉体验和审美享受。</t>
        </is>
      </c>
      <c r="E50" t="inlineStr">
        <is>
          <t>TH-B48</t>
        </is>
      </c>
      <c r="F50">
        <f>_xlfn.DISPIMG("ID_E23885E5EE6745D983B56A777825605D",1)</f>
        <v/>
      </c>
      <c r="G50">
        <f>IF(ISNUMBER(FIND("的介绍",D50)),"墙面展签，印有展品名称“"&amp;LEFT(D50,FIND("的介绍",D50)-1)&amp;"”，无长文本。",D50)</f>
        <v/>
      </c>
    </row>
    <row r="51">
      <c r="A51" t="inlineStr">
        <is>
          <t>TH-B48</t>
        </is>
      </c>
      <c r="B51" t="inlineStr">
        <is>
          <t>绿荫</t>
        </is>
      </c>
      <c r="C51" t="inlineStr">
        <is>
          <t>Exhibit</t>
        </is>
      </c>
      <c r="D51" t="inlineStr">
        <is>
          <t>绿荫的展品画放在地面这件作品通过独特的艺术表现形式，展现了深厚的文化底蕴和艺术家的创作理念，为观众提供了丰富的视觉体验和审美享受。</t>
        </is>
      </c>
      <c r="E51" t="inlineStr">
        <is>
          <t>TH-I-B47</t>
        </is>
      </c>
      <c r="F51">
        <f>_xlfn.DISPIMG("ID_A566DF34EB9C492D9E8D4919989A438D",1)</f>
        <v/>
      </c>
      <c r="G51">
        <f>IF(ISNUMBER(FIND("的介绍",D51)),"墙面展签，印有展品名称“"&amp;LEFT(D51,FIND("的介绍",D51)-1)&amp;"”，无长文本。",D51)</f>
        <v/>
      </c>
    </row>
    <row r="52">
      <c r="A52" t="inlineStr">
        <is>
          <t>TH-I-B49</t>
        </is>
      </c>
      <c r="B52" t="inlineStr">
        <is>
          <t>手写信</t>
        </is>
      </c>
      <c r="C52" t="inlineStr">
        <is>
          <t>Text</t>
        </is>
      </c>
      <c r="D52" t="inlineStr">
        <is>
          <t>很多页信，裱在画框里面，挂在白墙上这件作品通过独特的艺术表现形式，展现了深厚的文化底蕴和艺术家的创作理念，为观众提供了丰富的视觉体验和审美享受。</t>
        </is>
      </c>
      <c r="E52" t="inlineStr">
        <is>
          <t>TH-B22</t>
        </is>
      </c>
      <c r="F52">
        <f>_xlfn.DISPIMG("ID_FE38897BB0F840859E1066A9D5CA68C8",1)</f>
        <v/>
      </c>
      <c r="G52">
        <f>IF(ISNUMBER(FIND("的介绍",D52)),"墙面展签，印有展品名称“"&amp;LEFT(D52,FIND("的介绍",D52)-1)&amp;"”，无长文本。",D52)</f>
        <v/>
      </c>
    </row>
    <row r="53">
      <c r="A53" t="inlineStr">
        <is>
          <t>TH-I-B50</t>
        </is>
      </c>
      <c r="B53" t="inlineStr">
        <is>
          <t>说明文字</t>
        </is>
      </c>
      <c r="C53" t="inlineStr">
        <is>
          <t>Text</t>
        </is>
      </c>
      <c r="D53" t="inlineStr">
        <is>
          <t>自序（节选），白墙这件作品通过独特的艺术表现形式，展现了深厚的文化底蕴和艺术家的创作理念，为观众提供了丰富的视觉体验和审美享受。</t>
        </is>
      </c>
      <c r="E53" t="inlineStr">
        <is>
          <t>TH-I-B51</t>
        </is>
      </c>
      <c r="F53">
        <f>_xlfn.DISPIMG("ID_EA660CA417C14384B71B7323BCEFD464",1)</f>
        <v/>
      </c>
      <c r="G53">
        <f>IF(ISNUMBER(FIND("的介绍",D53)),"墙面展签，印有展品名称“"&amp;LEFT(D53,FIND("的介绍",D53)-1)&amp;"”，无长文本。",D53)</f>
        <v/>
      </c>
    </row>
    <row r="54">
      <c r="A54" t="inlineStr">
        <is>
          <t>TH-I-B51</t>
        </is>
      </c>
      <c r="B54" t="inlineStr">
        <is>
          <t>说明文字</t>
        </is>
      </c>
      <c r="C54" t="inlineStr">
        <is>
          <t>Text</t>
        </is>
      </c>
      <c r="D54" t="inlineStr">
        <is>
          <t>祝大年艺术年表，地上这件作品通过独特的艺术表现形式，展现了深厚的文化底蕴和艺术家的创作理念，为观众提供了丰富的视觉体验和审美享受。</t>
        </is>
      </c>
      <c r="E54" t="inlineStr">
        <is>
          <t>TH-I-B50</t>
        </is>
      </c>
      <c r="F54">
        <f>_xlfn.DISPIMG("ID_85797E41AC0C445296E781FD10995EF5",1)</f>
        <v/>
      </c>
      <c r="G54">
        <f>IF(ISNUMBER(FIND("的介绍",D54)),"墙面展签，印有展品名称“"&amp;LEFT(D54,FIND("的介绍",D54)-1)&amp;"”，无长文本。",D54)</f>
        <v/>
      </c>
    </row>
    <row r="55">
      <c r="A55" t="inlineStr">
        <is>
          <t>TH-B52</t>
        </is>
      </c>
      <c r="B55" t="inlineStr">
        <is>
          <t>迎客松</t>
        </is>
      </c>
      <c r="C55" t="inlineStr">
        <is>
          <t>Exhibit</t>
        </is>
      </c>
      <c r="D55" t="inlineStr">
        <is>
          <t>两幅画都是画的迎客松，左边一幅是彩色的，右侧一幅是黑白色，位于展厅的台面</t>
        </is>
      </c>
      <c r="E55" t="inlineStr">
        <is>
          <t>TH-B25</t>
        </is>
      </c>
      <c r="F55">
        <f>_xlfn.DISPIMG("ID_0F468311F9C14ED6B927612702202563",1)</f>
        <v/>
      </c>
      <c r="G55">
        <f>IF(ISNUMBER(FIND("的介绍",D55)),"墙面展签，印有展品名称“"&amp;LEFT(D55,FIND("的介绍",D55)-1)&amp;"”，无长文本。",D55)</f>
        <v/>
      </c>
    </row>
    <row r="56">
      <c r="A56" t="inlineStr">
        <is>
          <t>TH-I-B53</t>
        </is>
      </c>
      <c r="B56" t="inlineStr">
        <is>
          <t>说明文字</t>
        </is>
      </c>
      <c r="C56" t="inlineStr">
        <is>
          <t>Text</t>
        </is>
      </c>
      <c r="D56" t="inlineStr">
        <is>
          <t>第二乐章的介绍，“凝住刹那芳华，叩问生命永恒”，以及英文翻译，背景是黑色的墙面</t>
        </is>
      </c>
      <c r="E56" t="inlineStr">
        <is>
          <t>TH-C01</t>
        </is>
      </c>
      <c r="F56">
        <f>_xlfn.DISPIMG("ID_681526532AD64BBEA0FB6B5BE4034247",1)</f>
        <v/>
      </c>
      <c r="G56">
        <f>IF(ISNUMBER(FIND("的介绍",D56)),"墙面展签，印有展品名称“"&amp;LEFT(D56,FIND("的介绍",D56)-1)&amp;"”，无长文本。",D56)</f>
        <v/>
      </c>
    </row>
    <row r="57">
      <c r="A57" t="inlineStr">
        <is>
          <t>TH-I-B54</t>
        </is>
      </c>
      <c r="B57" t="inlineStr">
        <is>
          <t>说明文字</t>
        </is>
      </c>
      <c r="C57" t="inlineStr">
        <is>
          <t>Text</t>
        </is>
      </c>
      <c r="D57" t="inlineStr">
        <is>
          <t>“榕树老藤的展品名称”，白墙这件作品通过独特的艺术表现形式，展现了深厚的文化底蕴和艺术家的创作理念，为观众提供了丰富的视觉体验和审美享受。</t>
        </is>
      </c>
      <c r="E57" t="inlineStr">
        <is>
          <t>TH-B05</t>
        </is>
      </c>
      <c r="F57">
        <f>_xlfn.DISPIMG("ID_CE0477E4E05946269342F303B16FC5C5",1)</f>
        <v/>
      </c>
      <c r="G57">
        <f>IF(ISNUMBER(FIND("的介绍",D57)),"墙面展签，印有展品名称“"&amp;LEFT(D57,FIND("的介绍",D57)-1)&amp;"”，无长文本。",D57)</f>
        <v/>
      </c>
    </row>
    <row r="58">
      <c r="A58" t="inlineStr">
        <is>
          <t>TH-I-B55</t>
        </is>
      </c>
      <c r="B58" t="inlineStr">
        <is>
          <t>说明文字</t>
        </is>
      </c>
      <c r="C58" t="inlineStr">
        <is>
          <t>Text</t>
        </is>
      </c>
      <c r="D58" t="inlineStr">
        <is>
          <t>“罗梭江畔'的展品名称，背景为白墙这件作品通过独特的艺术表现形式，展现了深厚的文化底蕴和艺术家的创作理念，为观众提供了丰富的视觉体验和审美享受。</t>
        </is>
      </c>
      <c r="E58" t="inlineStr">
        <is>
          <t>TH-B31</t>
        </is>
      </c>
      <c r="F58">
        <f>_xlfn.DISPIMG("ID_208D34E29B47471CB428B81171D42BB5",1)</f>
        <v/>
      </c>
      <c r="G58">
        <f>IF(ISNUMBER(FIND("的介绍",D58)),"墙面展签，印有展品名称“"&amp;LEFT(D58,FIND("的介绍",D58)-1)&amp;"”，无长文本。",D58)</f>
        <v/>
      </c>
    </row>
    <row r="59">
      <c r="A59" t="inlineStr">
        <is>
          <t>TH-B56</t>
        </is>
      </c>
      <c r="B59" t="inlineStr">
        <is>
          <t>森林之歌手稿</t>
        </is>
      </c>
      <c r="C59" t="inlineStr">
        <is>
          <t>Exhibit</t>
        </is>
      </c>
      <c r="D59" t="inlineStr">
        <is>
          <t>一共九幅画位于展台上面，其中有两幅是立放，其他六张画平放的这件作品通过独特的艺术表现形式，展现了深厚的文化底蕴和艺术家的创作理念，为观众提供了丰富的视觉体验和审美享受。</t>
        </is>
      </c>
      <c r="E59" t="inlineStr">
        <is>
          <t>TH-B29</t>
        </is>
      </c>
      <c r="F59">
        <f>_xlfn.DISPIMG("ID_67F23FB15A5E4496B60CD5B4B7DC3F91",1)</f>
        <v/>
      </c>
      <c r="G59">
        <f>IF(ISNUMBER(FIND("的介绍",D59)),"墙面展签，印有展品名称“"&amp;LEFT(D59,FIND("的介绍",D59)-1)&amp;"”，无长文本。",D59)</f>
        <v/>
      </c>
    </row>
    <row r="60">
      <c r="A60" t="inlineStr">
        <is>
          <t>TH-I-B57</t>
        </is>
      </c>
      <c r="B60" t="inlineStr">
        <is>
          <t>说明文字</t>
        </is>
      </c>
      <c r="C60" t="inlineStr">
        <is>
          <t>Text</t>
        </is>
      </c>
      <c r="D60" t="inlineStr">
        <is>
          <t>乔十光对森林之歌多的重大影响这件作品通过独特的艺术表现形式，展现了深厚的文化底蕴和艺术家的创作理念，为观众提供了丰富的视觉体验和审美享受。</t>
        </is>
      </c>
      <c r="E60" t="inlineStr">
        <is>
          <t>TH-I-B58</t>
        </is>
      </c>
      <c r="F60">
        <f>_xlfn.DISPIMG("ID_B48659828B95471CB13BC6E352D1A447",1)</f>
        <v/>
      </c>
      <c r="G60">
        <f>IF(ISNUMBER(FIND("的介绍",D60)),"墙面展签，印有展品名称“"&amp;LEFT(D60,FIND("的介绍",D60)-1)&amp;"”，无长文本。",D60)</f>
        <v/>
      </c>
    </row>
    <row r="61">
      <c r="A61" t="inlineStr">
        <is>
          <t>TH-I-B58</t>
        </is>
      </c>
      <c r="B61" t="inlineStr">
        <is>
          <t>说明文字</t>
        </is>
      </c>
      <c r="C61" t="inlineStr">
        <is>
          <t>Text</t>
        </is>
      </c>
      <c r="D61" t="inlineStr">
        <is>
          <t>森林之歌的纸张大小和时间，以及详细介绍这件作品通过独特的艺术表现形式，展现了深厚的文化底蕴和艺术家的创作理念，为观众提供了丰富的视觉体验和审美享受。</t>
        </is>
      </c>
      <c r="E61" t="inlineStr">
        <is>
          <t>TH-I-B57</t>
        </is>
      </c>
      <c r="F61">
        <f>_xlfn.DISPIMG("ID_EDAE40BEBE8E4EE6B071660D3B4486CB",1)</f>
        <v/>
      </c>
      <c r="G61">
        <f>IF(ISNUMBER(FIND("的介绍",D61)),"墙面展签，印有展品名称“"&amp;LEFT(D61,FIND("的介绍",D61)-1)&amp;"”，无长文本。",D61)</f>
        <v/>
      </c>
    </row>
    <row r="62">
      <c r="A62" t="inlineStr">
        <is>
          <t>TH-I-B59</t>
        </is>
      </c>
      <c r="B62" t="inlineStr">
        <is>
          <t>说明文字</t>
        </is>
      </c>
      <c r="C62" t="inlineStr">
        <is>
          <t>Text</t>
        </is>
      </c>
      <c r="D62" t="inlineStr">
        <is>
          <t>第二乐章的介绍，“凝住刹那芳华，叩问生命永恒”，以及英文翻译，背景是黑色的墙面</t>
        </is>
      </c>
      <c r="E62" t="inlineStr">
        <is>
          <t>TH-I-B60</t>
        </is>
      </c>
      <c r="F62">
        <f>_xlfn.DISPIMG("ID_05BAECA0190247F9A5FFDAFFCC58CF0E",1)</f>
        <v/>
      </c>
      <c r="G62">
        <f>IF(ISNUMBER(FIND("的介绍",D62)),"墙面展签，印有展品名称“"&amp;LEFT(D62,FIND("的介绍",D62)-1)&amp;"”，无长文本。",D62)</f>
        <v/>
      </c>
    </row>
    <row r="63">
      <c r="A63" t="inlineStr">
        <is>
          <t>TH-I-B60</t>
        </is>
      </c>
      <c r="B63" t="inlineStr">
        <is>
          <t>说明文字</t>
        </is>
      </c>
      <c r="C63" t="inlineStr">
        <is>
          <t>Text</t>
        </is>
      </c>
      <c r="D63" t="inlineStr">
        <is>
          <t>对5种花的介绍，背景是黑色墙面的投影这件作品通过独特的艺术表现形式，展现了深厚的文化底蕴和艺术家的创作理念，为观众提供了丰富的视觉体验和审美享受。</t>
        </is>
      </c>
      <c r="E63" t="inlineStr">
        <is>
          <t>TH-I-B59</t>
        </is>
      </c>
      <c r="F63">
        <f>_xlfn.DISPIMG("ID_D227D93C013749A5A72B75A92D2977D9",1)</f>
        <v/>
      </c>
      <c r="G63">
        <f>IF(ISNUMBER(FIND("的介绍",D63)),"墙面展签，印有展品名称“"&amp;LEFT(D63,FIND("的介绍",D63)-1)&amp;"”，无长文本。",D63)</f>
        <v/>
      </c>
    </row>
    <row r="64">
      <c r="A64" t="inlineStr">
        <is>
          <t>TH-I-B61</t>
        </is>
      </c>
      <c r="B64" t="inlineStr">
        <is>
          <t>说明文字</t>
        </is>
      </c>
      <c r="C64" t="inlineStr">
        <is>
          <t>Text</t>
        </is>
      </c>
      <c r="D64" t="inlineStr">
        <is>
          <t>祝大年批语中文和英文这件作品通过独特的艺术表现形式，展现了深厚的文化底蕴和艺术家的创作理念，为观众提供了丰富的视觉体验和审美享受。</t>
        </is>
      </c>
      <c r="E64" t="inlineStr">
        <is>
          <t>TH-I-B01</t>
        </is>
      </c>
      <c r="F64">
        <f>_xlfn.DISPIMG("ID_894F186A1DFA405AA24A408C6C989C1B",1)</f>
        <v/>
      </c>
      <c r="G64">
        <f>IF(ISNUMBER(FIND("的介绍",D64)),"墙面展签，印有展品名称“"&amp;LEFT(D64,FIND("的介绍",D64)-1)&amp;"”，无长文本。",D64)</f>
        <v/>
      </c>
    </row>
    <row r="65">
      <c r="A65" t="inlineStr">
        <is>
          <t>TH-B62</t>
        </is>
      </c>
      <c r="B65" t="inlineStr">
        <is>
          <t>人</t>
        </is>
      </c>
      <c r="C65" t="inlineStr">
        <is>
          <t>Exhibit</t>
        </is>
      </c>
      <c r="D65" t="inlineStr">
        <is>
          <t>桌子上放着一幅人拿着刀子的画，旁边还有一只手这件作品通过独特的艺术表现形式，展现了深厚的文化底蕴和艺术家的创作理念，为观众提供了丰富的视觉体验和审美享受。</t>
        </is>
      </c>
      <c r="E65" t="inlineStr">
        <is>
          <t>TH-B63</t>
        </is>
      </c>
      <c r="F65">
        <f>_xlfn.DISPIMG("ID_E5DBFFD131DC45F4945C16ECEC64B485",1)</f>
        <v/>
      </c>
      <c r="G65">
        <f>IF(ISNUMBER(FIND("的介绍",D65)),"墙面展签，印有展品名称“"&amp;LEFT(D65,FIND("的介绍",D65)-1)&amp;"”，无长文本。",D65)</f>
        <v/>
      </c>
    </row>
    <row r="66">
      <c r="A66" t="inlineStr">
        <is>
          <t>TH-B63</t>
        </is>
      </c>
      <c r="B66" t="inlineStr">
        <is>
          <t>人</t>
        </is>
      </c>
      <c r="C66" t="inlineStr">
        <is>
          <t>Exhibit</t>
        </is>
      </c>
      <c r="D66" t="inlineStr">
        <is>
          <t>桌子上放着一幅用素描画着一个拿棍子半坐着的人这件作品通过独特的艺术表现形式，展现了深厚的文化底蕴和艺术家的创作理念，为观众提供了丰富的视觉体验和审美享受。</t>
        </is>
      </c>
      <c r="E66" t="inlineStr">
        <is>
          <t>TH-B62</t>
        </is>
      </c>
      <c r="F66">
        <f>_xlfn.DISPIMG("ID_EB0DC2C5FE334DD197F5DD26621F9DF4",1)</f>
        <v/>
      </c>
      <c r="G66">
        <f>IF(ISNUMBER(FIND("的介绍",D66)),"墙面展签，印有展品名称“"&amp;LEFT(D66,FIND("的介绍",D66)-1)&amp;"”，无长文本。",D66)</f>
        <v/>
      </c>
    </row>
    <row r="67">
      <c r="A67" t="inlineStr">
        <is>
          <t>TH-B64</t>
        </is>
      </c>
      <c r="B67" t="inlineStr">
        <is>
          <t>人</t>
        </is>
      </c>
      <c r="C67" t="inlineStr">
        <is>
          <t>Exhibit</t>
        </is>
      </c>
      <c r="D67" t="inlineStr">
        <is>
          <t>桌子上放着一幅用素描画着一个盘腿坐着的人这件作品通过独特的艺术表现形式，展现了深厚的文化底蕴和艺术家的创作理念，为观众提供了丰富的视觉体验和审美享受。</t>
        </is>
      </c>
      <c r="E67" t="inlineStr">
        <is>
          <t>TH-B63</t>
        </is>
      </c>
      <c r="F67">
        <f>_xlfn.DISPIMG("ID_9C1330B66B85447BAB808C6F16AABBC8",1)</f>
        <v/>
      </c>
      <c r="G67">
        <f>IF(ISNUMBER(FIND("的介绍",D67)),"墙面展签，印有展品名称“"&amp;LEFT(D67,FIND("的介绍",D67)-1)&amp;"”，无长文本。",D67)</f>
        <v/>
      </c>
    </row>
    <row r="68">
      <c r="A68" t="inlineStr">
        <is>
          <t>TH-B65</t>
        </is>
      </c>
      <c r="B68" t="inlineStr">
        <is>
          <t>人</t>
        </is>
      </c>
      <c r="C68" t="inlineStr">
        <is>
          <t>Exhibit</t>
        </is>
      </c>
      <c r="D68" t="inlineStr">
        <is>
          <t>桌子上放着一幅用素描画着抽烟的人，旁边还有一个影子这件作品通过独特的艺术表现形式，展现了深厚的文化底蕴和艺术家的创作理念，为观众提供了丰富的视觉体验和审美享受。</t>
        </is>
      </c>
      <c r="E68" t="inlineStr">
        <is>
          <t>TH-B64</t>
        </is>
      </c>
      <c r="F68">
        <f>_xlfn.DISPIMG("ID_F93BCA5839184770ACF3AA493D8066D5",1)</f>
        <v/>
      </c>
      <c r="G68">
        <f>IF(ISNUMBER(FIND("的介绍",D68)),"墙面展签，印有展品名称“"&amp;LEFT(D68,FIND("的介绍",D68)-1)&amp;"”，无长文本。",D68)</f>
        <v/>
      </c>
    </row>
    <row r="69">
      <c r="A69" t="inlineStr">
        <is>
          <t>TH-I-B66</t>
        </is>
      </c>
      <c r="B69" t="inlineStr">
        <is>
          <t>船</t>
        </is>
      </c>
      <c r="C69" t="inlineStr">
        <is>
          <t>Exhibit</t>
        </is>
      </c>
      <c r="D69" t="inlineStr">
        <is>
          <t>桌子上放着一幅用素描画着的一只船这件作品通过独特的艺术表现形式，展现了深厚的文化底蕴和艺术家的创作理念，为观众提供了丰富的视觉体验和审美享受。</t>
        </is>
      </c>
      <c r="E69" t="inlineStr">
        <is>
          <t>TH-B65</t>
        </is>
      </c>
      <c r="F69">
        <f>_xlfn.DISPIMG("ID_5F2A54A325D94B4F9A83D46FCC897B01",1)</f>
        <v/>
      </c>
      <c r="G69">
        <f>IF(ISNUMBER(FIND("的介绍",D69)),"墙面展签，印有展品名称“"&amp;LEFT(D69,FIND("的介绍",D69)-1)&amp;"”，无长文本。",D69)</f>
        <v/>
      </c>
    </row>
    <row r="70">
      <c r="A70" t="inlineStr">
        <is>
          <t>TH-I-B67</t>
        </is>
      </c>
      <c r="B70" t="inlineStr">
        <is>
          <t>说明文字</t>
        </is>
      </c>
      <c r="C70" t="inlineStr">
        <is>
          <t>Text</t>
        </is>
      </c>
      <c r="D70" t="inlineStr">
        <is>
          <t>森林之歌手稿画系列的年份这件作品通过独特的艺术表现形式，展现了深厚的文化底蕴和艺术家的创作理念，为观众提供了丰富的视觉体验和审美享受。</t>
        </is>
      </c>
      <c r="E70" t="inlineStr">
        <is>
          <t>TH-I-B68</t>
        </is>
      </c>
      <c r="F70">
        <f>_xlfn.DISPIMG("ID_24087ADD4ACA495A9CA67926D66D6C4D",1)</f>
        <v/>
      </c>
      <c r="G70">
        <f>IF(ISNUMBER(FIND("的介绍",D70)),"墙面展签，印有展品名称“"&amp;LEFT(D70,FIND("的介绍",D70)-1)&amp;"”，无长文本。",D70)</f>
        <v/>
      </c>
    </row>
    <row r="71">
      <c r="A71" t="inlineStr">
        <is>
          <t>TH-I-B68</t>
        </is>
      </c>
      <c r="B71" t="inlineStr">
        <is>
          <t>说明文字</t>
        </is>
      </c>
      <c r="C71" t="inlineStr">
        <is>
          <t>Text</t>
        </is>
      </c>
      <c r="D71" t="inlineStr">
        <is>
          <t>祝大年艺术年表平铺在桌子上这件作品通过独特的艺术表现形式，展现了深厚的文化底蕴和艺术家的创作理念，为观众提供了丰富的视觉体验和审美享受。</t>
        </is>
      </c>
      <c r="E71" t="inlineStr">
        <is>
          <t>TH-I-B67</t>
        </is>
      </c>
      <c r="F71">
        <f>_xlfn.DISPIMG("ID_3A37B942A3E74E8BB66BEE98DBC0A347",1)</f>
        <v/>
      </c>
      <c r="G71">
        <f>IF(ISNUMBER(FIND("的介绍",D71)),"墙面展签，印有展品名称“"&amp;LEFT(D71,FIND("的介绍",D71)-1)&amp;"”，无长文本。",D71)</f>
        <v/>
      </c>
    </row>
    <row r="72">
      <c r="A72" t="inlineStr">
        <is>
          <t>TH-I-B69</t>
        </is>
      </c>
      <c r="B72" t="inlineStr">
        <is>
          <t>说明文字</t>
        </is>
      </c>
      <c r="C72" t="inlineStr">
        <is>
          <t>Text</t>
        </is>
      </c>
      <c r="D72" t="inlineStr">
        <is>
          <t>记录一个人走向艺术之路的历程，还有英文介绍这件作品通过独特的艺术表现形式，展现了深厚的文化底蕴和艺术家的创作理念，为观众提供了丰富的视觉体验和审美享受。</t>
        </is>
      </c>
      <c r="E72" t="inlineStr">
        <is>
          <t>TH-I-B69</t>
        </is>
      </c>
      <c r="F72">
        <f>_xlfn.DISPIMG("ID_F0EDD7F2141B4CCFA3FFF5E3D74897FD",1)</f>
        <v/>
      </c>
      <c r="G72">
        <f>IF(ISNUMBER(FIND("的介绍",D72)),"墙面展签，印有展品名称“"&amp;LEFT(D72,FIND("的介绍",D72)-1)&amp;"”，无长文本。",D72)</f>
        <v/>
      </c>
    </row>
    <row r="73">
      <c r="A73" t="inlineStr">
        <is>
          <t>TH-I-B70</t>
        </is>
      </c>
      <c r="B73" t="inlineStr">
        <is>
          <t>说明文字</t>
        </is>
      </c>
      <c r="C73" t="inlineStr">
        <is>
          <t>Text</t>
        </is>
      </c>
      <c r="D73" t="inlineStr">
        <is>
          <t>用手写的八张人物自序这件作品通过独特的艺术表现形式，展现了深厚的文化底蕴和艺术家的创作理念，为观众提供了丰富的视觉体验和审美享受。</t>
        </is>
      </c>
      <c r="E73" t="inlineStr">
        <is>
          <t>TH-I-B69</t>
        </is>
      </c>
      <c r="F73">
        <f>_xlfn.DISPIMG("ID_C36FEEC19A604541A5140C4E82192455",1)</f>
        <v/>
      </c>
      <c r="G73">
        <f>IF(ISNUMBER(FIND("的介绍",D73)),"墙面展签，印有展品名称“"&amp;LEFT(D73,FIND("的介绍",D73)-1)&amp;"”，无长文本。",D73)</f>
        <v/>
      </c>
    </row>
    <row r="74">
      <c r="A74" t="inlineStr">
        <is>
          <t>TH-I-B71</t>
        </is>
      </c>
      <c r="B74" t="inlineStr">
        <is>
          <t>说明文字</t>
        </is>
      </c>
      <c r="C74" t="inlineStr">
        <is>
          <t>Text</t>
        </is>
      </c>
      <c r="D74" t="inlineStr">
        <is>
          <t>白墙上描述着孔雀的纸张大小和作画时间这件作品通过独特的艺术表现形式，展现了深厚的文化底蕴和艺术家的创作理念，为观众提供了丰富的视觉体验和审美享受。</t>
        </is>
      </c>
      <c r="E74" t="inlineStr">
        <is>
          <t>TH-I-B72</t>
        </is>
      </c>
      <c r="F74">
        <f>_xlfn.DISPIMG("ID_DB5E0B86091F44FFA5CDFBCEE0D010E9",1)</f>
        <v/>
      </c>
      <c r="G74">
        <f>IF(ISNUMBER(FIND("的介绍",D74)),"墙面展签，印有展品名称“"&amp;LEFT(D74,FIND("的介绍",D74)-1)&amp;"”，无长文本。",D74)</f>
        <v/>
      </c>
    </row>
    <row r="75">
      <c r="A75" t="inlineStr">
        <is>
          <t>TH-I-B72</t>
        </is>
      </c>
      <c r="B75" t="inlineStr">
        <is>
          <t>孔雀</t>
        </is>
      </c>
      <c r="C75" t="inlineStr">
        <is>
          <t>Exhibit</t>
        </is>
      </c>
      <c r="D75" t="inlineStr">
        <is>
          <t>墙面上悬挂着一幅画孔雀站在湖边的画的艺术作品。作品通过专业的灯光设计，呈现出最佳的视觉效果，吸引观众驻足欣赏。</t>
        </is>
      </c>
      <c r="E75" t="inlineStr">
        <is>
          <t>TH-I-B71</t>
        </is>
      </c>
      <c r="F75">
        <f>_xlfn.DISPIMG("ID_D309B3604F9B45B9BB379017B626D8CF",1)</f>
        <v/>
      </c>
      <c r="G75">
        <f>IF(ISNUMBER(FIND("的介绍",D75)),"墙面展签，印有展品名称“"&amp;LEFT(D75,FIND("的介绍",D75)-1)&amp;"”，无长文本。",D75)</f>
        <v/>
      </c>
    </row>
    <row r="76">
      <c r="A76" t="inlineStr">
        <is>
          <t>TH-I-B73</t>
        </is>
      </c>
      <c r="B76" t="inlineStr">
        <is>
          <t>说明文字</t>
        </is>
      </c>
      <c r="C76" t="inlineStr">
        <is>
          <t>Text</t>
        </is>
      </c>
      <c r="D76" t="inlineStr">
        <is>
          <t>刘巨德对画作的理解这件作品通过独特的艺术表现形式，展现了深厚的文化底蕴和艺术家的创作理念，为观众提供了丰富的视觉体验和审美享受。</t>
        </is>
      </c>
      <c r="E76" t="inlineStr">
        <is>
          <t>TH-I-B74</t>
        </is>
      </c>
      <c r="F76">
        <f>_xlfn.DISPIMG("ID_EE1486F4281B453BB55E2693907D568F",1)</f>
        <v/>
      </c>
      <c r="G76">
        <f>IF(ISNUMBER(FIND("的介绍",D76)),"墙面展签，印有展品名称“"&amp;LEFT(D76,FIND("的介绍",D76)-1)&amp;"”，无长文本。",D76)</f>
        <v/>
      </c>
    </row>
    <row r="77">
      <c r="A77" t="inlineStr">
        <is>
          <t>TH-I-B74</t>
        </is>
      </c>
      <c r="B77" t="inlineStr">
        <is>
          <t>说明文字</t>
        </is>
      </c>
      <c r="C77" t="inlineStr">
        <is>
          <t>Text</t>
        </is>
      </c>
      <c r="D77" t="inlineStr">
        <is>
          <t>吴冠中对画作的理解这件作品通过独特的艺术表现形式，展现了深厚的文化底蕴和艺术家的创作理念，为观众提供了丰富的视觉体验和审美享受。</t>
        </is>
      </c>
      <c r="E77" t="inlineStr">
        <is>
          <t>TH-I-B73</t>
        </is>
      </c>
      <c r="F77">
        <f>_xlfn.DISPIMG("ID_2C2C95819EC34F7CB8D75080FC809F67",1)</f>
        <v/>
      </c>
      <c r="G77">
        <f>IF(ISNUMBER(FIND("的介绍",D77)),"墙面展签，印有展品名称“"&amp;LEFT(D77,FIND("的介绍",D77)-1)&amp;"”，无长文本。",D77)</f>
        <v/>
      </c>
    </row>
    <row r="78">
      <c r="A78" t="inlineStr">
        <is>
          <t>TH-B75</t>
        </is>
      </c>
      <c r="B78" t="inlineStr">
        <is>
          <t>人物自序</t>
        </is>
      </c>
      <c r="C78" t="inlineStr">
        <is>
          <t>Exhibit</t>
        </is>
      </c>
      <c r="D78" t="inlineStr">
        <is>
          <t>记录一个人走向艺术之路的历程，还有英文介绍这件作品通过独特的艺术表现形式，展现了深厚的文化底蕴和艺术家的创作理念，为观众提供了丰富的视觉体验和审美享受。</t>
        </is>
      </c>
      <c r="E78" t="inlineStr">
        <is>
          <t>TH-B76</t>
        </is>
      </c>
      <c r="F78">
        <f>_xlfn.DISPIMG("ID_55E55592D34E4B4DAF202448758DC70E",1)</f>
        <v/>
      </c>
      <c r="G78">
        <f>IF(ISNUMBER(FIND("的介绍",D78)),"墙面展签，印有展品名称“"&amp;LEFT(D78,FIND("的介绍",D78)-1)&amp;"”，无长文本。",D78)</f>
        <v/>
      </c>
    </row>
    <row r="79">
      <c r="A79" t="inlineStr">
        <is>
          <t>TH-B76</t>
        </is>
      </c>
      <c r="B79" t="inlineStr">
        <is>
          <t>人物自序</t>
        </is>
      </c>
      <c r="C79" t="inlineStr">
        <is>
          <t>Exhibit</t>
        </is>
      </c>
      <c r="D79" t="inlineStr">
        <is>
          <t>用手写的八张人物自序这件作品通过独特的艺术表现形式，展现了深厚的文化底蕴和艺术家的创作理念，为观众提供了丰富的视觉体验和审美享受。</t>
        </is>
      </c>
      <c r="E79" t="inlineStr">
        <is>
          <t>TH-B75</t>
        </is>
      </c>
      <c r="F79">
        <f>_xlfn.DISPIMG("ID_EC20CE3F66964BCC9045E0714652357A",1)</f>
        <v/>
      </c>
      <c r="G79">
        <f>IF(ISNUMBER(FIND("的介绍",D79)),"墙面展签，印有展品名称“"&amp;LEFT(D79,FIND("的介绍",D79)-1)&amp;"”，无长文本。",D79)</f>
        <v/>
      </c>
    </row>
    <row r="80">
      <c r="A80" t="inlineStr">
        <is>
          <t>TH-B77</t>
        </is>
      </c>
      <c r="B80" t="inlineStr">
        <is>
          <t>森林之歌彩绘</t>
        </is>
      </c>
      <c r="C80" t="inlineStr">
        <is>
          <t>Exhibit</t>
        </is>
      </c>
      <c r="D80" t="inlineStr">
        <is>
          <t>画着一幅美好的森林景象的画挂在墙上这件作品通过独特的艺术表现形式，展现了深厚的文化底蕴和艺术家的创作理念，为观众提供了丰富的视觉体验和审美享受。</t>
        </is>
      </c>
      <c r="E80" t="inlineStr">
        <is>
          <t>TH-B03</t>
        </is>
      </c>
      <c r="F80">
        <f>_xlfn.DISPIMG("ID_BF2E922C2F8E4BCB8451929E42684CEC",1)</f>
        <v/>
      </c>
      <c r="G80">
        <f>IF(ISNUMBER(FIND("的介绍",D80)),"墙面展签，印有展品名称“"&amp;LEFT(D80,FIND("的介绍",D80)-1)&amp;"”，无长文本。",D80)</f>
        <v/>
      </c>
    </row>
    <row r="81">
      <c r="A81" t="inlineStr">
        <is>
          <t>TH-I-B78</t>
        </is>
      </c>
      <c r="B81" t="inlineStr">
        <is>
          <t>说明文字</t>
        </is>
      </c>
      <c r="C81" t="inlineStr">
        <is>
          <t>Text</t>
        </is>
      </c>
      <c r="D81" t="inlineStr">
        <is>
          <t>第一乐章“聆听自然交响，体悟万物和谐”的自然华章的中英文描述</t>
        </is>
      </c>
      <c r="E81" t="inlineStr">
        <is>
          <t>TH-B79</t>
        </is>
      </c>
      <c r="F81">
        <f>_xlfn.DISPIMG("ID_8D30DF367C6E4E12961E6D20D55EAB0C",1)</f>
        <v/>
      </c>
      <c r="G81">
        <f>IF(ISNUMBER(FIND("的介绍",D81)),"墙面展签，印有展品名称“"&amp;LEFT(D81,FIND("的介绍",D81)-1)&amp;"”，无长文本。",D81)</f>
        <v/>
      </c>
    </row>
    <row r="82">
      <c r="A82" t="inlineStr">
        <is>
          <t>TH-I-B79</t>
        </is>
      </c>
      <c r="B82" t="inlineStr">
        <is>
          <t>说明牌</t>
        </is>
      </c>
      <c r="C82" t="inlineStr">
        <is>
          <t>Text</t>
        </is>
      </c>
      <c r="D82" t="inlineStr">
        <is>
          <t>“聆听生命，森林之歌”，中英文写的“祝大年的自然诗”，正对入口方向，背景是白墙</t>
        </is>
      </c>
      <c r="E82" t="inlineStr">
        <is>
          <t>TH-B78</t>
        </is>
      </c>
      <c r="F82">
        <f>_xlfn.DISPIMG("ID_7FA5B8BEEDB14B95831AA068C2F0078A",1)</f>
        <v/>
      </c>
      <c r="G82">
        <f>IF(ISNUMBER(FIND("的介绍",D82)),"墙面展签，印有展品名称“"&amp;LEFT(D82,FIND("的介绍",D82)-1)&amp;"”，无长文本。",D82)</f>
        <v/>
      </c>
    </row>
    <row r="83">
      <c r="A83" t="inlineStr">
        <is>
          <t>TH-I-B80</t>
        </is>
      </c>
      <c r="B83" t="inlineStr">
        <is>
          <t>说明牌</t>
        </is>
      </c>
      <c r="C83" t="inlineStr">
        <is>
          <t>Exhibit</t>
        </is>
      </c>
      <c r="D83" t="inlineStr">
        <is>
          <t>方形展台上，左上角写着“祝大年的艺术年表”，中心部分陈列着从1916-1995年间祝大年的生平事迹,右上角写着“Art Chronology of Zhu Danian”</t>
        </is>
      </c>
      <c r="E83" t="inlineStr">
        <is>
          <t>TH-B81</t>
        </is>
      </c>
      <c r="F83">
        <f>_xlfn.DISPIMG("ID_520D333E9B464B08B60AE89558256147",1)</f>
        <v/>
      </c>
      <c r="G83">
        <f>IF(ISNUMBER(FIND("的介绍",D83)),"墙面展签，印有展品名称“"&amp;LEFT(D83,FIND("的介绍",D83)-1)&amp;"”，无长文本。",D83)</f>
        <v/>
      </c>
    </row>
    <row r="84">
      <c r="A84" t="inlineStr">
        <is>
          <t>TH-B81</t>
        </is>
      </c>
      <c r="B84" t="inlineStr">
        <is>
          <t>自序</t>
        </is>
      </c>
      <c r="C84" t="inlineStr">
        <is>
          <t>Exhibit</t>
        </is>
      </c>
      <c r="D84" t="inlineStr">
        <is>
          <t>“自序(节选)”，“Preface （excerpt）”，“我自幼喜爱艺术，是怀着一颗朴素的心……”白墙上陈列着多篇祝大年的自序节选文章</t>
        </is>
      </c>
      <c r="E84" t="inlineStr">
        <is>
          <t>TH-B82</t>
        </is>
      </c>
      <c r="F84">
        <f>_xlfn.DISPIMG("ID_5FEA0C71A6994F489DD021EB32B9B75C",1)</f>
        <v/>
      </c>
      <c r="G84">
        <f>IF(ISNUMBER(FIND("的介绍",D84)),"墙面展签，印有展品名称“"&amp;LEFT(D84,FIND("的介绍",D84)-1)&amp;"”，无长文本。",D84)</f>
        <v/>
      </c>
    </row>
    <row r="85">
      <c r="A85" t="inlineStr">
        <is>
          <t>TH-B82</t>
        </is>
      </c>
      <c r="B85" t="inlineStr">
        <is>
          <t>人与鸟</t>
        </is>
      </c>
      <c r="C85" t="inlineStr">
        <is>
          <t>Exhibit</t>
        </is>
      </c>
      <c r="D85" t="inlineStr">
        <is>
          <t>有三幅写生画作，相接陈列在墙上，第一幅是舟行人物稿，第二幅是飞鸟稿，第三幅是组合速写稿，背景是祝大年陶瓷壁画《森林之歌》</t>
        </is>
      </c>
      <c r="E85" t="inlineStr">
        <is>
          <t>TH-B81</t>
        </is>
      </c>
      <c r="F85">
        <f>_xlfn.DISPIMG("ID_F658B8EF9C744FA694C124D0C0799F8F",1)</f>
        <v/>
      </c>
      <c r="G85">
        <f>IF(ISNUMBER(FIND("的介绍",D85)),"墙面展签，印有展品名称“"&amp;LEFT(D85,FIND("的介绍",D85)-1)&amp;"”，无长文本。",D85)</f>
        <v/>
      </c>
    </row>
    <row r="86">
      <c r="A86" t="inlineStr">
        <is>
          <t>TH-B83</t>
        </is>
      </c>
      <c r="B86" t="inlineStr">
        <is>
          <t>鸟与食物</t>
        </is>
      </c>
      <c r="C86" t="inlineStr">
        <is>
          <t>Exhibit</t>
        </is>
      </c>
      <c r="D86" t="inlineStr">
        <is>
          <t>图片为四幅写生稿，分别为鹭鸟写生稿，版纳风物与舟船素材速写稿，背景是祝大年陶瓷壁画《森林之歌》</t>
        </is>
      </c>
      <c r="E86" t="inlineStr">
        <is>
          <t>TH-B82</t>
        </is>
      </c>
      <c r="F86">
        <f>_xlfn.DISPIMG("ID_B721D3A3C6A841288F2D1116C8860F2C",1)</f>
        <v/>
      </c>
      <c r="G86">
        <f>IF(ISNUMBER(FIND("的介绍",D86)),"墙面展签，印有展品名称“"&amp;LEFT(D86,FIND("的介绍",D86)-1)&amp;"”，无长文本。",D86)</f>
        <v/>
      </c>
    </row>
    <row r="87">
      <c r="A87" t="inlineStr">
        <is>
          <t>TH-E03</t>
        </is>
      </c>
      <c r="B87" t="inlineStr">
        <is>
          <t>入口</t>
        </is>
      </c>
      <c r="C87" t="inlineStr">
        <is>
          <t>Entrance</t>
        </is>
      </c>
      <c r="D87" t="inlineStr">
        <is>
          <t>下一展厅入口作为展厅的重要过渡空间，设计简洁而富有艺术感。入口区域引导观众逐步进入展览主题，营造出期待和探索的氛围。</t>
        </is>
      </c>
      <c r="E87" t="inlineStr">
        <is>
          <t>TH-C01</t>
        </is>
      </c>
      <c r="F87">
        <f>_xlfn.DISPIMG("ID_682FCA10F4624CFC96877B4CF7EA0268",1)</f>
        <v/>
      </c>
      <c r="G87">
        <f>IF(ISNUMBER(FIND("的介绍",D87)),"墙面展签，印有展品名称“"&amp;LEFT(D87,FIND("的介绍",D87)-1)&amp;"”，无长文本。",D87)</f>
        <v/>
      </c>
    </row>
    <row r="88">
      <c r="A88" t="inlineStr">
        <is>
          <t>TH-C01</t>
        </is>
      </c>
      <c r="B88" t="inlineStr">
        <is>
          <t>丁香花</t>
        </is>
      </c>
      <c r="C88" t="inlineStr">
        <is>
          <t>Exhibit</t>
        </is>
      </c>
      <c r="D88" t="inlineStr">
        <is>
          <t>这是一幅精美的艺术画作，描绘了由白色圆盆栽开满白色小花，并且绿叶繁盛的场景。直立挂起来，背景为黑色。作品采用传统绘画技法，色彩丰富，构图精巧，展现了艺术家深厚的功底和独特的审美视角。</t>
        </is>
      </c>
      <c r="E88" t="inlineStr">
        <is>
          <t>TH-I-C06</t>
        </is>
      </c>
      <c r="F88">
        <f>_xlfn.DISPIMG("ID_56F17995637D4968B2C25DB14A87F845",1)</f>
        <v/>
      </c>
      <c r="G88">
        <f>IF(ISNUMBER(FIND("的介绍",D88)),"墙面展签，印有展品名称“"&amp;LEFT(D88,FIND("的介绍",D88)-1)&amp;"”，无长文本。",D88)</f>
        <v/>
      </c>
    </row>
    <row r="89">
      <c r="A89" t="inlineStr">
        <is>
          <t>TH-C02</t>
        </is>
      </c>
      <c r="B89" t="inlineStr">
        <is>
          <t>金鱼兰</t>
        </is>
      </c>
      <c r="C89" t="inlineStr">
        <is>
          <t>Exhibit</t>
        </is>
      </c>
      <c r="D89" t="inlineStr">
        <is>
          <t>这是一幅精美的艺术画作，描绘了土红色盆子载种着一支叶片细长，花朵呈金鱼状的场景。该画挂在展厅中央。作品采用传统绘画技法，色彩丰富，构图精巧，展现了艺术家深厚的功底和独特的审美视角。</t>
        </is>
      </c>
      <c r="E89" t="inlineStr">
        <is>
          <t>TH-C01</t>
        </is>
      </c>
      <c r="F89">
        <f>_xlfn.DISPIMG("ID_501DACA8A1FD4EBBA8B1E28F388D1EEA",1)</f>
        <v/>
      </c>
      <c r="G89">
        <f>IF(ISNUMBER(FIND("的介绍",D89)),"墙面展签，印有展品名称“"&amp;LEFT(D89,FIND("的介绍",D89)-1)&amp;"”，无长文本。",D89)</f>
        <v/>
      </c>
    </row>
    <row r="90">
      <c r="A90" t="inlineStr">
        <is>
          <t>TH-C03</t>
        </is>
      </c>
      <c r="B90" t="inlineStr">
        <is>
          <t>玉兰花开</t>
        </is>
      </c>
      <c r="C90" t="inlineStr">
        <is>
          <t>Exhibit</t>
        </is>
      </c>
      <c r="D90" t="inlineStr">
        <is>
          <t>这是一幅精美的艺术画作，描绘了开满白色玉兰花的树的场景。挂在黑墙上。作品采用传统绘画技法，色彩丰富，构图精巧，展现了艺术家深厚的功底和独特的审美视角。</t>
        </is>
      </c>
      <c r="E90" t="inlineStr">
        <is>
          <t>TH-C02</t>
        </is>
      </c>
      <c r="F90">
        <f>_xlfn.DISPIMG("ID_9DDE7F3CDE2D40ACB71BE300B20E26E4",1)</f>
        <v/>
      </c>
      <c r="G90">
        <f>IF(ISNUMBER(FIND("的介绍",D90)),"墙面展签，印有展品名称“"&amp;LEFT(D90,FIND("的介绍",D90)-1)&amp;"”，无长文本。",D90)</f>
        <v/>
      </c>
    </row>
    <row r="91">
      <c r="A91" t="inlineStr">
        <is>
          <t>TH-I-C04</t>
        </is>
      </c>
      <c r="B91" t="inlineStr">
        <is>
          <t>说明文字</t>
        </is>
      </c>
      <c r="C91" t="inlineStr">
        <is>
          <t>Text</t>
        </is>
      </c>
      <c r="D91" t="inlineStr">
        <is>
          <t>四季花，“摒弃传统的写实，以极致的概括与提炼，呈现四支极具意味的花束”，背景是黑墙</t>
        </is>
      </c>
      <c r="E91" t="inlineStr">
        <is>
          <t>TH-C03</t>
        </is>
      </c>
      <c r="F91">
        <f>_xlfn.DISPIMG("ID_50318C8F7A3442E3BC6CF3A5E6985F12",1)</f>
        <v/>
      </c>
      <c r="G91">
        <f>IF(ISNUMBER(FIND("的介绍",D91)),"墙面展签，印有展品名称“"&amp;LEFT(D91,FIND("的介绍",D91)-1)&amp;"”，无长文本。",D91)</f>
        <v/>
      </c>
    </row>
    <row r="92">
      <c r="A92" t="inlineStr">
        <is>
          <t>TH-C05</t>
        </is>
      </c>
      <c r="B92" t="inlineStr">
        <is>
          <t>极乐鸟</t>
        </is>
      </c>
      <c r="C92" t="inlineStr">
        <is>
          <t>Exhibit</t>
        </is>
      </c>
      <c r="D92" t="inlineStr">
        <is>
          <t>极乐鸟展品画，在柱子上这件作品通过独特的艺术表现形式，展现了深厚的文化底蕴和艺术家的创作理念，为观众提供了丰富的视觉体验和审美享受。</t>
        </is>
      </c>
      <c r="E92" t="inlineStr">
        <is>
          <t>TH-I-C06</t>
        </is>
      </c>
      <c r="F92">
        <f>_xlfn.DISPIMG("ID_7CAE12E1B8174E8EBB3C234909E48A2A",1)</f>
        <v/>
      </c>
      <c r="G92">
        <f>IF(ISNUMBER(FIND("的介绍",D92)),"墙面展签，印有展品名称“"&amp;LEFT(D92,FIND("的介绍",D92)-1)&amp;"”，无长文本。",D92)</f>
        <v/>
      </c>
    </row>
    <row r="93">
      <c r="A93" t="inlineStr">
        <is>
          <t>TH-I-C06</t>
        </is>
      </c>
      <c r="B93" t="inlineStr">
        <is>
          <t>说明文字</t>
        </is>
      </c>
      <c r="C93" t="inlineStr">
        <is>
          <t>Text</t>
        </is>
      </c>
      <c r="D93" t="inlineStr">
        <is>
          <t>极乐鸟的介绍，白墙这件作品通过独特的艺术表现形式，展现了深厚的文化底蕴和艺术家的创作理念，为观众提供了丰富的视觉体验和审美享受。</t>
        </is>
      </c>
      <c r="E93" t="inlineStr">
        <is>
          <t>TH-C05</t>
        </is>
      </c>
      <c r="F93">
        <f>_xlfn.DISPIMG("ID_ABD27BBBCB864A5885079249610406DB",1)</f>
        <v/>
      </c>
      <c r="G93">
        <f>IF(ISNUMBER(FIND("的介绍",D93)),"墙面展签，印有展品名称“"&amp;LEFT(D93,FIND("的介绍",D93)-1)&amp;"”，无长文本。",D93)</f>
        <v/>
      </c>
    </row>
    <row r="94">
      <c r="A94" t="inlineStr">
        <is>
          <t>TH-I-C07</t>
        </is>
      </c>
      <c r="B94" t="inlineStr">
        <is>
          <t>说明牌</t>
        </is>
      </c>
      <c r="C94" t="inlineStr">
        <is>
          <t>Text</t>
        </is>
      </c>
      <c r="D94" t="inlineStr">
        <is>
          <t>第二乐章 凝驻霎那芳华，叩问生命永恒，黑墙这件作品通过独特的艺术表现形式，展现了深厚的文化底蕴和艺术家的创作理念，为观众提供了丰富的视觉体验和审美享受。</t>
        </is>
      </c>
      <c r="E94" t="inlineStr">
        <is>
          <t>TH-I-C08</t>
        </is>
      </c>
      <c r="F94">
        <f>_xlfn.DISPIMG("ID_097E03D737524B57B3BA85DAF5898719",1)</f>
        <v/>
      </c>
      <c r="G94">
        <f>IF(ISNUMBER(FIND("的介绍",D94)),"墙面展签，印有展品名称“"&amp;LEFT(D94,FIND("的介绍",D94)-1)&amp;"”，无长文本。",D94)</f>
        <v/>
      </c>
    </row>
    <row r="95">
      <c r="A95" t="inlineStr">
        <is>
          <t>TH-I-C08</t>
        </is>
      </c>
      <c r="B95" t="inlineStr">
        <is>
          <t>说明文字</t>
        </is>
      </c>
      <c r="C95" t="inlineStr">
        <is>
          <t>Text</t>
        </is>
      </c>
      <c r="D95" t="inlineStr">
        <is>
          <t>芍药花介绍，黑墙这件作品通过独特的艺术表现形式，展现了深厚的文化底蕴和艺术家的创作理念，为观众提供了丰富的视觉体验和审美享受。</t>
        </is>
      </c>
      <c r="E95" t="inlineStr">
        <is>
          <t>TH-I-C07</t>
        </is>
      </c>
      <c r="F95">
        <f>_xlfn.DISPIMG("ID_0E8720D42F74440B9A231AB02C1A58D8",1)</f>
        <v/>
      </c>
      <c r="G95">
        <f>IF(ISNUMBER(FIND("的介绍",D95)),"墙面展签，印有展品名称“"&amp;LEFT(D95,FIND("的介绍",D95)-1)&amp;"”，无长文本。",D95)</f>
        <v/>
      </c>
    </row>
    <row r="96">
      <c r="A96" t="inlineStr">
        <is>
          <t>TH-C09</t>
        </is>
      </c>
      <c r="B96" t="inlineStr">
        <is>
          <t>牡丹花</t>
        </is>
      </c>
      <c r="C96" t="inlineStr">
        <is>
          <t>Exhibit</t>
        </is>
      </c>
      <c r="D96" t="inlineStr">
        <is>
          <t>这是一幅精美的艺术画作，描绘了牡丹花的场景。色彩饱满，花瓣层次细腻；搭配翠绿的叶片，与带有花纹的青花瓷瓶、红色纹样衬布形成鲜明色彩对比，该画挂在展厅中间。作品采用传统绘画技法，色彩丰富，构图精巧，展现了艺术家深厚的功底和独特的审美视角。</t>
        </is>
      </c>
      <c r="E96" t="inlineStr">
        <is>
          <t>TH-I-C04</t>
        </is>
      </c>
      <c r="F96">
        <f>_xlfn.DISPIMG("ID_4ED818A3B7DA4797B7CFC770EEF053F4",1)</f>
        <v/>
      </c>
      <c r="G96">
        <f>IF(ISNUMBER(FIND("的介绍",D96)),"墙面展签，印有展品名称“"&amp;LEFT(D96,FIND("的介绍",D96)-1)&amp;"”，无长文本。",D96)</f>
        <v/>
      </c>
    </row>
    <row r="97">
      <c r="A97" t="inlineStr">
        <is>
          <t>TH-C10</t>
        </is>
      </c>
      <c r="B97" t="inlineStr">
        <is>
          <t>南疆之花</t>
        </is>
      </c>
      <c r="C97" t="inlineStr">
        <is>
          <t>Exhibit</t>
        </is>
      </c>
      <c r="D97" t="inlineStr">
        <is>
          <t>这是一幅精美的艺术画作，描绘了多株高大、分枝繁茂的仙人掌的场景。该画挂在背景黑色的墙上。作品采用传统绘画技法，色彩丰富，构图精巧，展现了艺术家深厚的功底和独特的审美视角。</t>
        </is>
      </c>
      <c r="E97" t="inlineStr">
        <is>
          <t>TH-C09</t>
        </is>
      </c>
      <c r="F97">
        <f>_xlfn.DISPIMG("ID_74E9267C72F341569D2DE07CD74C65FF",1)</f>
        <v/>
      </c>
      <c r="G97">
        <f>IF(ISNUMBER(FIND("的介绍",D97)),"墙面展签，印有展品名称“"&amp;LEFT(D97,FIND("的介绍",D97)-1)&amp;"”，无长文本。",D97)</f>
        <v/>
      </c>
    </row>
    <row r="98">
      <c r="A98" t="inlineStr">
        <is>
          <t>TH-I-C11</t>
        </is>
      </c>
      <c r="B98" t="inlineStr">
        <is>
          <t>说明文字</t>
        </is>
      </c>
      <c r="C98" t="inlineStr">
        <is>
          <t>Text</t>
        </is>
      </c>
      <c r="D98" t="inlineStr">
        <is>
          <t>玉兰花开的介绍，白墙这件作品通过独特的艺术表现形式，展现了深厚的文化底蕴和艺术家的创作理念，为观众提供了丰富的视觉体验和审美享受。</t>
        </is>
      </c>
      <c r="E98" t="inlineStr">
        <is>
          <t>TH-C03</t>
        </is>
      </c>
      <c r="F98">
        <f>_xlfn.DISPIMG("ID_CF43A30A4A4D4DD7B1B41E00C7430D31",1)</f>
        <v/>
      </c>
      <c r="G98">
        <f>IF(ISNUMBER(FIND("的介绍",D98)),"墙面展签，印有展品名称“"&amp;LEFT(D98,FIND("的介绍",D98)-1)&amp;"”，无长文本。",D98)</f>
        <v/>
      </c>
    </row>
    <row r="99">
      <c r="A99" t="inlineStr">
        <is>
          <t>TH-C12</t>
        </is>
      </c>
      <c r="B99" t="inlineStr">
        <is>
          <t>鸡蛋花</t>
        </is>
      </c>
      <c r="C99" t="inlineStr">
        <is>
          <t>Exhibit</t>
        </is>
      </c>
      <c r="D99" t="inlineStr">
        <is>
          <t>一盆花的画作展品画挂在墙上这件作品通过独特的艺术表现形式，展现了深厚的文化底蕴和艺术家的创作理念，为观众提供了丰富的视觉体验和审美享受。</t>
        </is>
      </c>
      <c r="E99" t="inlineStr">
        <is>
          <t>TH-C03</t>
        </is>
      </c>
      <c r="F99">
        <f>_xlfn.DISPIMG("ID_369D202F5A7C4894BAAE2472A584FAB6",1)</f>
        <v/>
      </c>
      <c r="G99">
        <f>IF(ISNUMBER(FIND("的介绍",D99)),"墙面展签，印有展品名称“"&amp;LEFT(D99,FIND("的介绍",D99)-1)&amp;"”，无长文本。",D99)</f>
        <v/>
      </c>
    </row>
    <row r="100">
      <c r="A100" t="inlineStr">
        <is>
          <t>TH-C13</t>
        </is>
      </c>
      <c r="B100" t="inlineStr">
        <is>
          <t>山茶花</t>
        </is>
      </c>
      <c r="C100" t="inlineStr">
        <is>
          <t>Exhibit</t>
        </is>
      </c>
      <c r="D100" t="inlineStr">
        <is>
          <t>一盆花的画作展品画，在柱子上这件作品通过独特的艺术表现形式，展现了深厚的文化底蕴和艺术家的创作理念，为观众提供了丰富的视觉体验和审美享受。</t>
        </is>
      </c>
      <c r="E100" t="inlineStr">
        <is>
          <t>TH-C05</t>
        </is>
      </c>
      <c r="F100">
        <f>_xlfn.DISPIMG("ID_83DDF2A81BBF41C98797BEAFF1D1E6B3",1)</f>
        <v/>
      </c>
      <c r="G100">
        <f>IF(ISNUMBER(FIND("的介绍",D100)),"墙面展签，印有展品名称“"&amp;LEFT(D100,FIND("的介绍",D100)-1)&amp;"”，无长文本。",D100)</f>
        <v/>
      </c>
    </row>
    <row r="101">
      <c r="A101" t="inlineStr">
        <is>
          <t>TH-C14</t>
        </is>
      </c>
      <c r="B101" t="inlineStr">
        <is>
          <t>兜兰</t>
        </is>
      </c>
      <c r="C101" t="inlineStr">
        <is>
          <t>Exhibit</t>
        </is>
      </c>
      <c r="D101" t="inlineStr">
        <is>
          <t>一盆花的画作展品画，在柱子上这件作品通过独特的艺术表现形式，展现了深厚的文化底蕴和艺术家的创作理念，为观众提供了丰富的视觉体验和审美享受。</t>
        </is>
      </c>
      <c r="E101" t="inlineStr">
        <is>
          <t>TH-C06</t>
        </is>
      </c>
      <c r="F101">
        <f>_xlfn.DISPIMG("ID_07B07D7FB2A4418CB3D3CB1002191976",1)</f>
        <v/>
      </c>
      <c r="G101">
        <f>IF(ISNUMBER(FIND("的介绍",D101)),"墙面展签，印有展品名称“"&amp;LEFT(D101,FIND("的介绍",D101)-1)&amp;"”，无长文本。",D101)</f>
        <v/>
      </c>
    </row>
    <row r="102">
      <c r="A102" t="inlineStr">
        <is>
          <t>TH-I-C15</t>
        </is>
      </c>
      <c r="B102" t="inlineStr">
        <is>
          <t>说明文字</t>
        </is>
      </c>
      <c r="C102" t="inlineStr">
        <is>
          <t>Text</t>
        </is>
      </c>
      <c r="D102" t="inlineStr">
        <is>
          <t>吴冠中用英文对于画中花朵的描述，背景为暗色白墙这件作品通过独特的艺术表现形式，展现了深厚的文化底蕴和艺术家的创作理念，为观众提供了丰富的视觉体验和审美享受。</t>
        </is>
      </c>
      <c r="E102" t="inlineStr">
        <is>
          <t>TH-C05</t>
        </is>
      </c>
      <c r="F102">
        <f>_xlfn.DISPIMG("ID_28ACD90E04944A4CB86AADD9F71F3519",1)</f>
        <v/>
      </c>
      <c r="G102">
        <f>IF(ISNUMBER(FIND("的介绍",D102)),"墙面展签，印有展品名称“"&amp;LEFT(D102,FIND("的介绍",D102)-1)&amp;"”，无长文本。",D102)</f>
        <v/>
      </c>
    </row>
    <row r="103">
      <c r="A103" t="inlineStr">
        <is>
          <t>TH-I-C16</t>
        </is>
      </c>
      <c r="B103" t="inlineStr">
        <is>
          <t>说明文字</t>
        </is>
      </c>
      <c r="C103" t="inlineStr">
        <is>
          <t>Text</t>
        </is>
      </c>
      <c r="D103" t="inlineStr">
        <is>
          <t>“夔门是祝大年百日长江写生中，以工笔重彩礼赞长江天险的杰作。”背景为白墙</t>
        </is>
      </c>
      <c r="E103" t="inlineStr">
        <is>
          <t>TH-I18</t>
        </is>
      </c>
      <c r="F103">
        <f>_xlfn.DISPIMG("ID_5D6F71C9C56747909D964FD0BD86A936",1)</f>
        <v/>
      </c>
      <c r="G103">
        <f>IF(ISNUMBER(FIND("的介绍",D103)),"墙面展签，印有展品名称“"&amp;LEFT(D103,FIND("的介绍",D103)-1)&amp;"”，无长文本。",D103)</f>
        <v/>
      </c>
    </row>
    <row r="104">
      <c r="A104" t="inlineStr">
        <is>
          <t>TH-C17</t>
        </is>
      </c>
      <c r="B104" t="inlineStr">
        <is>
          <t>夔门</t>
        </is>
      </c>
      <c r="C104" t="inlineStr">
        <is>
          <t>Exhibit</t>
        </is>
      </c>
      <c r="D104" t="inlineStr">
        <is>
          <t>一幅画着一岸是陡峭的山崖，长江边上停泊着大大小小的船只的画。该画挂在白墙上</t>
        </is>
      </c>
      <c r="E104" t="inlineStr">
        <is>
          <t>TH-I-C16</t>
        </is>
      </c>
      <c r="F104">
        <f>_xlfn.DISPIMG("ID_46BBBAF4522F44EE919335C4FBD34595",1)</f>
        <v/>
      </c>
      <c r="G104">
        <f>IF(ISNUMBER(FIND("的介绍",D104)),"墙面展签，印有展品名称“"&amp;LEFT(D104,FIND("的介绍",D104)-1)&amp;"”，无长文本。",D104)</f>
        <v/>
      </c>
    </row>
    <row r="105">
      <c r="A105" t="inlineStr">
        <is>
          <t>TH-I-C18</t>
        </is>
      </c>
      <c r="B105" t="inlineStr">
        <is>
          <t>说明文字</t>
        </is>
      </c>
      <c r="C105" t="inlineStr">
        <is>
          <t>Text</t>
        </is>
      </c>
      <c r="D105" t="inlineStr">
        <is>
          <t>芍药花，鸡蛋花，兜兰，碧桃，四幅画的大小，时间，和详细介绍这件作品通过独特的艺术表现形式，展现了深厚的文化底蕴和艺术家的创作理念，为观众提供了丰富的视觉体验和审美享受。</t>
        </is>
      </c>
      <c r="E105" t="inlineStr">
        <is>
          <t>TH-C12</t>
        </is>
      </c>
      <c r="F105">
        <f>_xlfn.DISPIMG("ID_ADB7EE66BAAE4706A96B2B32814F1DCA",1)</f>
        <v/>
      </c>
      <c r="G105">
        <f>IF(ISNUMBER(FIND("的介绍",D105)),"墙面展签，印有展品名称“"&amp;LEFT(D105,FIND("的介绍",D105)-1)&amp;"”，无长文本。",D105)</f>
        <v/>
      </c>
    </row>
    <row r="106">
      <c r="A106" t="inlineStr">
        <is>
          <t>TH-C19</t>
        </is>
      </c>
      <c r="B106" t="inlineStr">
        <is>
          <t>说明文字</t>
        </is>
      </c>
      <c r="C106" t="inlineStr">
        <is>
          <t>Text</t>
        </is>
      </c>
      <c r="D106" t="inlineStr">
        <is>
          <t>墙面上悬挂着一幅开满白花的画的艺术作品。作品通过专业的灯光设计，呈现出最佳的视觉效果，吸引观众驻足欣赏。</t>
        </is>
      </c>
      <c r="E106" t="inlineStr">
        <is>
          <t>TH-C04</t>
        </is>
      </c>
      <c r="F106">
        <f>_xlfn.DISPIMG("ID_1A4B56869A18485F8ADC0A14B7A827ED",1)</f>
        <v/>
      </c>
      <c r="G106">
        <f>IF(ISNUMBER(FIND("的介绍",D106)),"墙面展签，印有展品名称“"&amp;LEFT(D106,FIND("的介绍",D106)-1)&amp;"”，无长文本。",D106)</f>
        <v/>
      </c>
    </row>
    <row r="107">
      <c r="A107" t="inlineStr">
        <is>
          <t>TH-I-C20</t>
        </is>
      </c>
      <c r="B107" t="inlineStr">
        <is>
          <t>说明文字</t>
        </is>
      </c>
      <c r="C107" t="inlineStr">
        <is>
          <t>Text</t>
        </is>
      </c>
      <c r="D107" t="inlineStr">
        <is>
          <t>吴冠中对苍松的赞美这件作品通过独特的艺术表现形式，展现了深厚的文化底蕴和艺术家的创作理念，为观众提供了丰富的视觉体验和审美享受。</t>
        </is>
      </c>
      <c r="E107" t="inlineStr">
        <is>
          <t>TH-I-C19</t>
        </is>
      </c>
      <c r="F107">
        <f>_xlfn.DISPIMG("ID_5A5F04D69C63458895B0CABDBB165EC9",1)</f>
        <v/>
      </c>
      <c r="G107">
        <f>IF(ISNUMBER(FIND("的介绍",D107)),"墙面展签，印有展品名称“"&amp;LEFT(D107,FIND("的介绍",D107)-1)&amp;"”，无长文本。",D107)</f>
        <v/>
      </c>
    </row>
    <row r="108">
      <c r="A108" t="inlineStr">
        <is>
          <t>TH-C21</t>
        </is>
      </c>
      <c r="B108" t="inlineStr">
        <is>
          <t>四季花</t>
        </is>
      </c>
      <c r="C108" t="inlineStr">
        <is>
          <t>Exhibit</t>
        </is>
      </c>
      <c r="D108" t="inlineStr">
        <is>
          <t>象征着四季的花这件作品通过独特的艺术表现形式，展现了深厚的文化底蕴和艺术家的创作理念，为观众提供了丰富的视觉体验和审美享受。</t>
        </is>
      </c>
      <c r="E108" t="inlineStr">
        <is>
          <t>TH-I-C20</t>
        </is>
      </c>
      <c r="F108">
        <f>_xlfn.DISPIMG("ID_1D85F3F77BE6466AAC3B414D2B2CC9BE",1)</f>
        <v/>
      </c>
      <c r="G108">
        <f>IF(ISNUMBER(FIND("的介绍",D108)),"墙面展签，印有展品名称“"&amp;LEFT(D108,FIND("的介绍",D108)-1)&amp;"”，无长文本。",D108)</f>
        <v/>
      </c>
    </row>
    <row r="109">
      <c r="A109" t="inlineStr">
        <is>
          <t>TH-E04</t>
        </is>
      </c>
      <c r="B109" t="inlineStr">
        <is>
          <t>入口</t>
        </is>
      </c>
      <c r="C109" t="inlineStr">
        <is>
          <t>Entrance</t>
        </is>
      </c>
      <c r="D109" t="inlineStr">
        <is>
          <t>下一展厅入口作为展厅的重要过渡空间，设计简洁而富有艺术感。入口区域引导观众逐步进入展览主题，营造出期待和探索的氛围。</t>
        </is>
      </c>
      <c r="E109" t="inlineStr">
        <is>
          <t>TH-I-D01</t>
        </is>
      </c>
      <c r="F109">
        <f>_xlfn.DISPIMG("ID_AF95D7C5967C432BA39EDD3C6E88785A",1)</f>
        <v/>
      </c>
      <c r="G109">
        <f>IF(ISNUMBER(FIND("的介绍",D109)),"墙面展签，印有展品名称“"&amp;LEFT(D109,FIND("的介绍",D109)-1)&amp;"”，无长文本。",D109)</f>
        <v/>
      </c>
    </row>
    <row r="110">
      <c r="A110" t="inlineStr">
        <is>
          <t>TH-I-D01</t>
        </is>
      </c>
      <c r="B110" t="inlineStr">
        <is>
          <t>说明牌</t>
        </is>
      </c>
      <c r="C110" t="inlineStr">
        <is>
          <t>Text</t>
        </is>
      </c>
      <c r="D110" t="inlineStr">
        <is>
          <t>第三乐章-聆听人间烟火，合奏天地韵律，白墙这件作品通过独特的艺术表现形式，展现了深厚的文化底蕴和艺术家的创作理念，为观众提供了丰富的视觉体验和审美享受。</t>
        </is>
      </c>
      <c r="E110" t="inlineStr">
        <is>
          <t>TH-E01</t>
        </is>
      </c>
      <c r="F110">
        <f>_xlfn.DISPIMG("ID_84B03C6D83CE459F9541ED0CC64EA839",1)</f>
        <v/>
      </c>
      <c r="G110">
        <f>IF(ISNUMBER(FIND("的介绍",D110)),"墙面展签，印有展品名称“"&amp;LEFT(D110,FIND("的介绍",D110)-1)&amp;"”，无长文本。",D110)</f>
        <v/>
      </c>
    </row>
    <row r="111">
      <c r="A111" t="inlineStr">
        <is>
          <t>TH-D02</t>
        </is>
      </c>
      <c r="B111" t="inlineStr">
        <is>
          <t>画</t>
        </is>
      </c>
      <c r="C111" t="inlineStr">
        <is>
          <t>Exhibit</t>
        </is>
      </c>
      <c r="D111" t="inlineStr">
        <is>
          <t>包含山水船的画作展品画，在墙上这件作品通过独特的艺术表现形式，展现了深厚的文化底蕴和艺术家的创作理念，为观众提供了丰富的视觉体验和审美享受。</t>
        </is>
      </c>
      <c r="E111" t="inlineStr">
        <is>
          <t>TH-I-D01</t>
        </is>
      </c>
      <c r="F111">
        <f>_xlfn.DISPIMG("ID_D3FD72A1C60B4B0DAF4AD42E819490FD",1)</f>
        <v/>
      </c>
      <c r="G111">
        <f>IF(ISNUMBER(FIND("的介绍",D111)),"墙面展签，印有展品名称“"&amp;LEFT(D111,FIND("的介绍",D111)-1)&amp;"”，无长文本。",D111)</f>
        <v/>
      </c>
    </row>
    <row r="112">
      <c r="A112" t="inlineStr">
        <is>
          <t>TH-I-D03</t>
        </is>
      </c>
      <c r="B112" t="inlineStr">
        <is>
          <t>说明文字</t>
        </is>
      </c>
      <c r="C112" t="inlineStr">
        <is>
          <t>Text</t>
        </is>
      </c>
      <c r="D112" t="inlineStr">
        <is>
          <t>南京长江大桥的介绍，白墙这件作品通过独特的艺术表现形式，展现了深厚的文化底蕴和艺术家的创作理念，为观众提供了丰富的视觉体验和审美享受。</t>
        </is>
      </c>
      <c r="E112" t="inlineStr">
        <is>
          <t>TH-D02</t>
        </is>
      </c>
      <c r="F112">
        <f>_xlfn.DISPIMG("ID_77244000F21C4B2F9393C06ED4D4D8C8",1)</f>
        <v/>
      </c>
      <c r="G112">
        <f>IF(ISNUMBER(FIND("的介绍",D112)),"墙面展签，印有展品名称“"&amp;LEFT(D112,FIND("的介绍",D112)-1)&amp;"”，无长文本。",D112)</f>
        <v/>
      </c>
    </row>
    <row r="113">
      <c r="A113" t="inlineStr">
        <is>
          <t>TH-D04</t>
        </is>
      </c>
      <c r="B113" t="inlineStr">
        <is>
          <t>南京长江大桥</t>
        </is>
      </c>
      <c r="C113" t="inlineStr">
        <is>
          <t>Exhibit</t>
        </is>
      </c>
      <c r="D113" t="inlineStr">
        <is>
          <t>南京长江大桥的画作展品画，在墙上这件作品通过独特的艺术表现形式，展现了深厚的文化底蕴和艺术家的创作理念，为观众提供了丰富的视觉体验和审美享受。</t>
        </is>
      </c>
      <c r="E113" t="inlineStr">
        <is>
          <t>TH-I-D03</t>
        </is>
      </c>
      <c r="F113">
        <f>_xlfn.DISPIMG("ID_5719C58E8FBD4ABFA456E59120E37722",1)</f>
        <v/>
      </c>
      <c r="G113">
        <f>IF(ISNUMBER(FIND("的介绍",D113)),"墙面展签，印有展品名称“"&amp;LEFT(D113,FIND("的介绍",D113)-1)&amp;"”，无长文本。",D113)</f>
        <v/>
      </c>
    </row>
    <row r="114">
      <c r="A114" t="inlineStr">
        <is>
          <t>TH-D05</t>
        </is>
      </c>
      <c r="B114" t="inlineStr">
        <is>
          <t>漓江山水</t>
        </is>
      </c>
      <c r="C114" t="inlineStr">
        <is>
          <t>Exhibit</t>
        </is>
      </c>
      <c r="D114" t="inlineStr">
        <is>
          <t>这是一幅精美的艺术画作，描绘了层叠的漓江山峰，江面泛着小船的场景。该画挂在白墙中间。作品采用传统绘画技法，色彩丰富，构图精巧，展现了艺术家深厚的功底和独特的审美视角。</t>
        </is>
      </c>
      <c r="E114" t="inlineStr">
        <is>
          <t>TH-D06</t>
        </is>
      </c>
      <c r="F114">
        <f>_xlfn.DISPIMG("ID_C3CAF8B77C514A7FA63F1551790FB235",1)</f>
        <v/>
      </c>
      <c r="G114">
        <f>IF(ISNUMBER(FIND("的介绍",D114)),"墙面展签，印有展品名称“"&amp;LEFT(D114,FIND("的介绍",D114)-1)&amp;"”，无长文本。",D114)</f>
        <v/>
      </c>
    </row>
    <row r="115">
      <c r="A115" t="inlineStr">
        <is>
          <t>TH-D06</t>
        </is>
      </c>
      <c r="B115" t="inlineStr">
        <is>
          <t>水果篮女子</t>
        </is>
      </c>
      <c r="C115" t="inlineStr">
        <is>
          <t>Exhibit</t>
        </is>
      </c>
      <c r="D115" t="inlineStr">
        <is>
          <t>这是一幅精美的艺术画作，描绘了身着湛蓝色花布的女子怀里放着一个水果篮的场景。该画位于白墙上。作品采用传统绘画技法，色彩丰富，构图精巧，展现了艺术家深厚的功底和独特的审美视角。</t>
        </is>
      </c>
      <c r="E115" t="inlineStr">
        <is>
          <t>TH-I-D07</t>
        </is>
      </c>
      <c r="F115">
        <f>_xlfn.DISPIMG("ID_48521D13BDF9431B944F679ED6EC0CF6",1)</f>
        <v/>
      </c>
      <c r="G115">
        <f>IF(ISNUMBER(FIND("的介绍",D115)),"墙面展签，印有展品名称“"&amp;LEFT(D115,FIND("的介绍",D115)-1)&amp;"”，无长文本。",D115)</f>
        <v/>
      </c>
    </row>
    <row r="116">
      <c r="A116" t="inlineStr">
        <is>
          <t>TH-I-D07</t>
        </is>
      </c>
      <c r="B116" t="inlineStr">
        <is>
          <t>说明文字</t>
        </is>
      </c>
      <c r="C116" t="inlineStr">
        <is>
          <t>Text</t>
        </is>
      </c>
      <c r="D116" t="inlineStr">
        <is>
          <t>“水果篮女子”是展品的名称，介绍了该画的尺寸这件作品通过独特的艺术表现形式，展现了深厚的文化底蕴和艺术家的创作理念，为观众提供了丰富的视觉体验和审美享受。</t>
        </is>
      </c>
      <c r="E116" t="inlineStr">
        <is>
          <t>TH-D06</t>
        </is>
      </c>
      <c r="F116">
        <f>_xlfn.DISPIMG("ID_BE2CD2C97FE2409DB43F3643AC006491",1)</f>
        <v/>
      </c>
      <c r="G116">
        <f>IF(ISNUMBER(FIND("的介绍",D116)),"墙面展签，印有展品名称“"&amp;LEFT(D116,FIND("的介绍",D116)-1)&amp;"”，无长文本。",D116)</f>
        <v/>
      </c>
    </row>
    <row r="117">
      <c r="A117" t="inlineStr">
        <is>
          <t>TH-D08</t>
        </is>
      </c>
      <c r="B117" t="inlineStr">
        <is>
          <t>鸢飞曲壁画</t>
        </is>
      </c>
      <c r="C117" t="inlineStr">
        <is>
          <t>Exhibit</t>
        </is>
      </c>
      <c r="D117" t="inlineStr">
        <is>
          <t>包含各种风筝的巨幅壁画作展品，在墙上这件作品通过独特的艺术表现形式，展现了深厚的文化底蕴和艺术家的创作理念，为观众提供了丰富的视觉体验和审美享受。</t>
        </is>
      </c>
      <c r="E117" t="inlineStr">
        <is>
          <t>TH-I-D09</t>
        </is>
      </c>
      <c r="F117">
        <f>_xlfn.DISPIMG("ID_67649C82CA5240688EE96D51DCF5E239",1)</f>
        <v/>
      </c>
      <c r="G117">
        <f>IF(ISNUMBER(FIND("的介绍",D117)),"墙面展签，印有展品名称“"&amp;LEFT(D117,FIND("的介绍",D117)-1)&amp;"”，无长文本。",D117)</f>
        <v/>
      </c>
    </row>
    <row r="118">
      <c r="A118" t="inlineStr">
        <is>
          <t>TH-I-D09</t>
        </is>
      </c>
      <c r="B118" t="inlineStr">
        <is>
          <t>说明文字</t>
        </is>
      </c>
      <c r="C118" t="inlineStr">
        <is>
          <t>Text</t>
        </is>
      </c>
      <c r="D118" t="inlineStr">
        <is>
          <t>鸢飞曲介绍，柱子这件作品通过独特的艺术表现形式，展现了深厚的文化底蕴和艺术家的创作理念，为观众提供了丰富的视觉体验和审美享受。</t>
        </is>
      </c>
      <c r="E118" t="inlineStr">
        <is>
          <t>TH-D08</t>
        </is>
      </c>
      <c r="F118">
        <f>_xlfn.DISPIMG("ID_3FC840131CAD4F53A64D2A45D13D7B6C",1)</f>
        <v/>
      </c>
      <c r="G118">
        <f>IF(ISNUMBER(FIND("的介绍",D118)),"墙面展签，印有展品名称“"&amp;LEFT(D118,FIND("的介绍",D118)-1)&amp;"”，无长文本。",D118)</f>
        <v/>
      </c>
    </row>
    <row r="119">
      <c r="A119" t="inlineStr">
        <is>
          <t>TH-I-D10</t>
        </is>
      </c>
      <c r="B119" t="inlineStr">
        <is>
          <t>说明文字</t>
        </is>
      </c>
      <c r="C119" t="inlineStr">
        <is>
          <t>Text</t>
        </is>
      </c>
      <c r="D119" t="inlineStr">
        <is>
          <t>鸢飞曲介绍，桌子上这件作品通过独特的艺术表现形式，展现了深厚的文化底蕴和艺术家的创作理念，为观众提供了丰富的视觉体验和审美享受。</t>
        </is>
      </c>
      <c r="E119" t="inlineStr">
        <is>
          <t>TH-I-D09</t>
        </is>
      </c>
      <c r="F119">
        <f>_xlfn.DISPIMG("ID_8A214910A3884CCB8EF8D749A5E3FFBD",1)</f>
        <v/>
      </c>
      <c r="G119">
        <f>IF(ISNUMBER(FIND("的介绍",D119)),"墙面展签，印有展品名称“"&amp;LEFT(D119,FIND("的介绍",D119)-1)&amp;"”，无长文本。",D119)</f>
        <v/>
      </c>
    </row>
    <row r="120">
      <c r="A120" t="inlineStr">
        <is>
          <t>TH-D11</t>
        </is>
      </c>
      <c r="B120" t="inlineStr">
        <is>
          <t>鸢飞曲</t>
        </is>
      </c>
      <c r="C120" t="inlineStr">
        <is>
          <t>Exhibit</t>
        </is>
      </c>
      <c r="D120" t="inlineStr">
        <is>
          <t>鸢飞曲画作展品，在桌子上这件作品通过独特的艺术表现形式，展现了深厚的文化底蕴和艺术家的创作理念，为观众提供了丰富的视觉体验和审美享受。</t>
        </is>
      </c>
      <c r="E120" t="inlineStr">
        <is>
          <t>TH-I-D10</t>
        </is>
      </c>
      <c r="F120">
        <f>_xlfn.DISPIMG("ID_0F9C55CDCC6247AEAB72A42054A83D62",1)</f>
        <v/>
      </c>
      <c r="G120">
        <f>IF(ISNUMBER(FIND("的介绍",D120)),"墙面展签，印有展品名称“"&amp;LEFT(D120,FIND("的介绍",D120)-1)&amp;"”，无长文本。",D120)</f>
        <v/>
      </c>
    </row>
    <row r="121">
      <c r="A121" t="inlineStr">
        <is>
          <t>TH-I-D12</t>
        </is>
      </c>
      <c r="B121" t="inlineStr">
        <is>
          <t>说明文字</t>
        </is>
      </c>
      <c r="C121" t="inlineStr">
        <is>
          <t>Exhibit</t>
        </is>
      </c>
      <c r="D121" t="inlineStr">
        <is>
          <t>农林牧副渔组合画作展品，在墙上这件作品通过独特的艺术表现形式，展现了深厚的文化底蕴和艺术家的创作理念，为观众提供了丰富的视觉体验和审美享受。</t>
        </is>
      </c>
      <c r="E121" t="inlineStr">
        <is>
          <t>TH-I-D13</t>
        </is>
      </c>
      <c r="F121">
        <f>_xlfn.DISPIMG("ID_FB37B1DE349F4FBA91F1BC301BEC11A5",1)</f>
        <v/>
      </c>
      <c r="G121">
        <f>IF(ISNUMBER(FIND("的介绍",D121)),"墙面展签，印有展品名称“"&amp;LEFT(D121,FIND("的介绍",D121)-1)&amp;"”，无长文本。",D121)</f>
        <v/>
      </c>
    </row>
    <row r="122">
      <c r="A122" t="inlineStr">
        <is>
          <t>TH-I-D13</t>
        </is>
      </c>
      <c r="B122" t="inlineStr">
        <is>
          <t>说明文字</t>
        </is>
      </c>
      <c r="C122" t="inlineStr">
        <is>
          <t>Text</t>
        </is>
      </c>
      <c r="D122" t="inlineStr">
        <is>
          <t>农林牧副渔介绍，墙上这件作品通过独特的艺术表现形式，展现了深厚的文化底蕴和艺术家的创作理念，为观众提供了丰富的视觉体验和审美享受。</t>
        </is>
      </c>
      <c r="E122" t="inlineStr">
        <is>
          <t>TH-I-D12</t>
        </is>
      </c>
      <c r="F122">
        <f>_xlfn.DISPIMG("ID_358EDCAB6FAF4A4FA6D059253F8868CA",1)</f>
        <v/>
      </c>
      <c r="G122">
        <f>IF(ISNUMBER(FIND("的介绍",D122)),"墙面展签，印有展品名称“"&amp;LEFT(D122,FIND("的介绍",D122)-1)&amp;"”，无长文本。",D122)</f>
        <v/>
      </c>
    </row>
    <row r="123">
      <c r="A123" t="inlineStr">
        <is>
          <t>TH-D14</t>
        </is>
      </c>
      <c r="B123" t="inlineStr">
        <is>
          <t>画</t>
        </is>
      </c>
      <c r="C123" t="inlineStr">
        <is>
          <t>Exhibit</t>
        </is>
      </c>
      <c r="D123" t="inlineStr">
        <is>
          <t>包含风筝的画作展品画，在桌子上这件作品通过独特的艺术表现形式，展现了深厚的文化底蕴和艺术家的创作理念，为观众提供了丰富的视觉体验和审美享受。</t>
        </is>
      </c>
      <c r="E123" t="inlineStr">
        <is>
          <t>TH-D15</t>
        </is>
      </c>
      <c r="F123">
        <f>_xlfn.DISPIMG("ID_962912BE97B641009A644B0D1BCE4515",1)</f>
        <v/>
      </c>
      <c r="G123">
        <f>IF(ISNUMBER(FIND("的介绍",D123)),"墙面展签，印有展品名称“"&amp;LEFT(D123,FIND("的介绍",D123)-1)&amp;"”，无长文本。",D123)</f>
        <v/>
      </c>
    </row>
    <row r="124">
      <c r="A124" t="inlineStr">
        <is>
          <t>TH-D15</t>
        </is>
      </c>
      <c r="B124" t="inlineStr">
        <is>
          <t>鸢飞曲手稿</t>
        </is>
      </c>
      <c r="C124" t="inlineStr">
        <is>
          <t>Exhibit</t>
        </is>
      </c>
      <c r="D124" t="inlineStr">
        <is>
          <t>包含风筝的画作展品画，在桌子上这件作品通过独特的艺术表现形式，展现了深厚的文化底蕴和艺术家的创作理念，为观众提供了丰富的视觉体验和审美享受。</t>
        </is>
      </c>
      <c r="E124" t="inlineStr">
        <is>
          <t>TH-D14</t>
        </is>
      </c>
      <c r="F124">
        <f>_xlfn.DISPIMG("ID_304D0E6E3A4B4FDA896810D109F4E926",1)</f>
        <v/>
      </c>
      <c r="G124">
        <f>IF(ISNUMBER(FIND("的介绍",D124)),"墙面展签，印有展品名称“"&amp;LEFT(D124,FIND("的介绍",D124)-1)&amp;"”，无长文本。",D124)</f>
        <v/>
      </c>
    </row>
    <row r="125">
      <c r="A125" t="inlineStr">
        <is>
          <t>TH-D16</t>
        </is>
      </c>
      <c r="B125" t="inlineStr">
        <is>
          <t>鸢飞曲手稿</t>
        </is>
      </c>
      <c r="C125" t="inlineStr">
        <is>
          <t>Exhibit</t>
        </is>
      </c>
      <c r="D125" t="inlineStr">
        <is>
          <t>包含风筝和人的画作展品画，在桌子上这件作品通过独特的艺术表现形式，展现了深厚的文化底蕴和艺术家的创作理念，为观众提供了丰富的视觉体验和审美享受。</t>
        </is>
      </c>
      <c r="E125" t="inlineStr">
        <is>
          <t>TH-D15</t>
        </is>
      </c>
      <c r="F125">
        <f>_xlfn.DISPIMG("ID_E9CCE0AB54AE4978B92170B98924CB13",1)</f>
        <v/>
      </c>
      <c r="G125">
        <f>IF(ISNUMBER(FIND("的介绍",D125)),"墙面展签，印有展品名称“"&amp;LEFT(D125,FIND("的介绍",D125)-1)&amp;"”，无长文本。",D125)</f>
        <v/>
      </c>
    </row>
    <row r="126">
      <c r="A126" t="inlineStr">
        <is>
          <t>TH-D17</t>
        </is>
      </c>
      <c r="B126" t="inlineStr">
        <is>
          <t>鸢飞曲手稿</t>
        </is>
      </c>
      <c r="C126" t="inlineStr">
        <is>
          <t>Exhibit</t>
        </is>
      </c>
      <c r="D126" t="inlineStr">
        <is>
          <t>包含风筝和人的画作展品画，在桌子上这件作品通过独特的艺术表现形式，展现了深厚的文化底蕴和艺术家的创作理念，为观众提供了丰富的视觉体验和审美享受。</t>
        </is>
      </c>
      <c r="E126" t="inlineStr">
        <is>
          <t>TH-D16</t>
        </is>
      </c>
      <c r="F126">
        <f>_xlfn.DISPIMG("ID_57275BB4BC834D229C4B7BA197622231",1)</f>
        <v/>
      </c>
      <c r="G126">
        <f>IF(ISNUMBER(FIND("的介绍",D126)),"墙面展签，印有展品名称“"&amp;LEFT(D126,FIND("的介绍",D126)-1)&amp;"”，无长文本。",D126)</f>
        <v/>
      </c>
    </row>
    <row r="127">
      <c r="A127" t="inlineStr">
        <is>
          <t>TH-I-D18</t>
        </is>
      </c>
      <c r="B127" t="inlineStr">
        <is>
          <t>说明文字</t>
        </is>
      </c>
      <c r="C127" t="inlineStr">
        <is>
          <t>Text</t>
        </is>
      </c>
      <c r="D127" t="inlineStr">
        <is>
          <t>漓江春色介绍，墙上这件作品通过独特的艺术表现形式，展现了深厚的文化底蕴和艺术家的创作理念，为观众提供了丰富的视觉体验和审美享受。</t>
        </is>
      </c>
      <c r="E127" t="inlineStr">
        <is>
          <t>TH-D19</t>
        </is>
      </c>
      <c r="F127">
        <f>_xlfn.DISPIMG("ID_885DB9098827419EB7AC126DFF8F9CCC",1)</f>
        <v/>
      </c>
      <c r="G127">
        <f>IF(ISNUMBER(FIND("的介绍",D127)),"墙面展签，印有展品名称“"&amp;LEFT(D127,FIND("的介绍",D127)-1)&amp;"”，无长文本。",D127)</f>
        <v/>
      </c>
    </row>
    <row r="128">
      <c r="A128" t="inlineStr">
        <is>
          <t>TH-D19</t>
        </is>
      </c>
      <c r="B128" t="inlineStr">
        <is>
          <t>漓江春色</t>
        </is>
      </c>
      <c r="C128" t="inlineStr">
        <is>
          <t>Exhibit</t>
        </is>
      </c>
      <c r="D128" t="inlineStr">
        <is>
          <t>漓江春色画作展品，在墙上这件作品通过独特的艺术表现形式，展现了深厚的文化底蕴和艺术家的创作理念，为观众提供了丰富的视觉体验和审美享受。</t>
        </is>
      </c>
      <c r="E128" t="inlineStr">
        <is>
          <t>TH-I-D18</t>
        </is>
      </c>
      <c r="F128">
        <f>_xlfn.DISPIMG("ID_9E0D8C8DDE624065A383F18131AC7A02",1)</f>
        <v/>
      </c>
      <c r="G128">
        <f>IF(ISNUMBER(FIND("的介绍",D128)),"墙面展签，印有展品名称“"&amp;LEFT(D128,FIND("的介绍",D128)-1)&amp;"”，无长文本。",D128)</f>
        <v/>
      </c>
    </row>
    <row r="129">
      <c r="A129" t="inlineStr">
        <is>
          <t>TH-D20</t>
        </is>
      </c>
      <c r="B129" t="inlineStr">
        <is>
          <t>姐妹情</t>
        </is>
      </c>
      <c r="C129" t="inlineStr">
        <is>
          <t>Exhibit</t>
        </is>
      </c>
      <c r="D129" t="inlineStr">
        <is>
          <t>姐妹情画作展品，在墙上这件作品通过独特的艺术表现形式，展现了深厚的文化底蕴和艺术家的创作理念，为观众提供了丰富的视觉体验和审美享受。</t>
        </is>
      </c>
      <c r="E129" t="inlineStr">
        <is>
          <t>TH-I-D21</t>
        </is>
      </c>
      <c r="F129">
        <f>_xlfn.DISPIMG("ID_514CD07BCAA94658A994732B683199FD",1)</f>
        <v/>
      </c>
      <c r="G129">
        <f>IF(ISNUMBER(FIND("的介绍",D129)),"墙面展签，印有展品名称“"&amp;LEFT(D129,FIND("的介绍",D129)-1)&amp;"”，无长文本。",D129)</f>
        <v/>
      </c>
    </row>
    <row r="130">
      <c r="A130" t="inlineStr">
        <is>
          <t>TH-I-D21</t>
        </is>
      </c>
      <c r="B130" t="inlineStr">
        <is>
          <t>说明文字</t>
        </is>
      </c>
      <c r="C130" t="inlineStr">
        <is>
          <t>Text</t>
        </is>
      </c>
      <c r="D130" t="inlineStr">
        <is>
          <t>姐妹情介绍，墙上这件作品通过独特的艺术表现形式，展现了深厚的文化底蕴和艺术家的创作理念，为观众提供了丰富的视觉体验和审美享受。</t>
        </is>
      </c>
      <c r="E130" t="inlineStr">
        <is>
          <t>TH-D20</t>
        </is>
      </c>
      <c r="F130">
        <f>_xlfn.DISPIMG("ID_55A1808BE1F04422B8B46BC7CE90024B",1)</f>
        <v/>
      </c>
      <c r="G130">
        <f>IF(ISNUMBER(FIND("的介绍",D130)),"墙面展签，印有展品名称“"&amp;LEFT(D130,FIND("的介绍",D130)-1)&amp;"”，无长文本。",D130)</f>
        <v/>
      </c>
    </row>
    <row r="131">
      <c r="A131" t="inlineStr">
        <is>
          <t>TH-D22</t>
        </is>
      </c>
      <c r="B131" t="inlineStr">
        <is>
          <t>苏州姑娘</t>
        </is>
      </c>
      <c r="C131" t="inlineStr">
        <is>
          <t>Exhibit</t>
        </is>
      </c>
      <c r="D131" t="inlineStr">
        <is>
          <t>这是一幅精美的艺术画作，描绘了沿海地区装扮的女性，梳着马尾、佩戴耳饰与头饰，身着带条纹纹样的服饰，姿态舒展地坐卧着，神态宁静放松的场景。该画位于白墙最右边。作品采用传统绘画技法，色彩丰富，构图精巧，展现了艺术家深厚的功底和独特的审美视角。</t>
        </is>
      </c>
      <c r="E131" t="inlineStr">
        <is>
          <t>TH-I-D23</t>
        </is>
      </c>
      <c r="F131">
        <f>_xlfn.DISPIMG("ID_CB8B3B2DF8484CB9A3E3AB1350A1A656",1)</f>
        <v/>
      </c>
      <c r="G131">
        <f>IF(ISNUMBER(FIND("的介绍",D131)),"墙面展签，印有展品名称“"&amp;LEFT(D131,FIND("的介绍",D131)-1)&amp;"”，无长文本。",D131)</f>
        <v/>
      </c>
    </row>
    <row r="132">
      <c r="A132" t="inlineStr">
        <is>
          <t>TH-I-D23</t>
        </is>
      </c>
      <c r="B132" t="inlineStr">
        <is>
          <t>说明文字</t>
        </is>
      </c>
      <c r="C132" t="inlineStr">
        <is>
          <t>Text</t>
        </is>
      </c>
      <c r="D132" t="inlineStr">
        <is>
          <t>苏州姑娘介绍，墙上这件作品通过独特的艺术表现形式，展现了深厚的文化底蕴和艺术家的创作理念，为观众提供了丰富的视觉体验和审美享受。</t>
        </is>
      </c>
      <c r="E132" t="inlineStr">
        <is>
          <t>TH-D22</t>
        </is>
      </c>
      <c r="F132">
        <f>_xlfn.DISPIMG("ID_AAB6F9C6D8394CB4A57823AA1AFB8910",1)</f>
        <v/>
      </c>
      <c r="G132">
        <f>IF(ISNUMBER(FIND("的介绍",D132)),"墙面展签，印有展品名称“"&amp;LEFT(D132,FIND("的介绍",D132)-1)&amp;"”，无长文本。",D132)</f>
        <v/>
      </c>
    </row>
    <row r="133">
      <c r="A133" t="inlineStr">
        <is>
          <t>TH-D24</t>
        </is>
      </c>
      <c r="B133" t="inlineStr">
        <is>
          <t>四合小院</t>
        </is>
      </c>
      <c r="C133" t="inlineStr">
        <is>
          <t>Exhibit</t>
        </is>
      </c>
      <c r="D133" t="inlineStr">
        <is>
          <t>这是一幅精美的艺术画作，描绘了庭院中央有一棵结满果实的树，树下散落着南瓜、葫芦等蔬果的场景。该画位于白墙中央。作品采用传统绘画技法，色彩丰富，构图精巧，展现了艺术家深厚的功底和独特的审美视角。</t>
        </is>
      </c>
      <c r="E133" t="inlineStr">
        <is>
          <t>TH-D23</t>
        </is>
      </c>
      <c r="F133">
        <f>_xlfn.DISPIMG("ID_2E54236D941446F5B0D67C936CF8530C",1)</f>
        <v/>
      </c>
      <c r="G133">
        <f>IF(ISNUMBER(FIND("的介绍",D133)),"墙面展签，印有展品名称“"&amp;LEFT(D133,FIND("的介绍",D133)-1)&amp;"”，无长文本。",D133)</f>
        <v/>
      </c>
    </row>
    <row r="134">
      <c r="A134" t="inlineStr">
        <is>
          <t>TH-D25</t>
        </is>
      </c>
      <c r="B134" t="inlineStr">
        <is>
          <t>风筝</t>
        </is>
      </c>
      <c r="C134" t="inlineStr">
        <is>
          <t>Exhibit</t>
        </is>
      </c>
      <c r="D134" t="inlineStr">
        <is>
          <t>这是一幅精美的艺术画作，描绘了许多风筝被拉着线在宫殿上空飞扬的场景。位于画满风筝的彩色墙上。作品采用传统绘画技法，色彩丰富，构图精巧，展现了艺术家深厚的功底和独特的审美视角。</t>
        </is>
      </c>
      <c r="E134" t="inlineStr">
        <is>
          <t>TH-D26</t>
        </is>
      </c>
      <c r="F134">
        <f>_xlfn.DISPIMG("ID_B1FAE613C7D6418E8DFDE27E28DE591E",1)</f>
        <v/>
      </c>
      <c r="G134">
        <f>IF(ISNUMBER(FIND("的介绍",D134)),"墙面展签，印有展品名称“"&amp;LEFT(D134,FIND("的介绍",D134)-1)&amp;"”，无长文本。",D134)</f>
        <v/>
      </c>
    </row>
    <row r="135">
      <c r="A135" t="inlineStr">
        <is>
          <t>TH-D26</t>
        </is>
      </c>
      <c r="B135" t="inlineStr">
        <is>
          <t>风筝</t>
        </is>
      </c>
      <c r="C135" t="inlineStr">
        <is>
          <t>Exhibit</t>
        </is>
      </c>
      <c r="D135" t="inlineStr">
        <is>
          <t>这是一幅精美的艺术画作，描绘了中央有个圆形类似铜钱的风筝飞扬的场景。该画位于画满风筝的彩色墙上。作品采用传统绘画技法，色彩丰富，构图精巧，展现了艺术家深厚的功底和独特的审美视角。</t>
        </is>
      </c>
      <c r="E135" t="inlineStr">
        <is>
          <t>TH-D25</t>
        </is>
      </c>
      <c r="F135">
        <f>_xlfn.DISPIMG("ID_94818E0DBB3D4B109A316EE12CB626FE",1)</f>
        <v/>
      </c>
      <c r="G135">
        <f>IF(ISNUMBER(FIND("的介绍",D135)),"墙面展签，印有展品名称“"&amp;LEFT(D135,FIND("的介绍",D135)-1)&amp;"”，无长文本。",D135)</f>
        <v/>
      </c>
    </row>
    <row r="136">
      <c r="A136" t="inlineStr">
        <is>
          <t>TH-D27</t>
        </is>
      </c>
      <c r="B136" t="inlineStr">
        <is>
          <t>风筝</t>
        </is>
      </c>
      <c r="C136" t="inlineStr">
        <is>
          <t>Exhibit</t>
        </is>
      </c>
      <c r="D136" t="inlineStr">
        <is>
          <t>纸鸢画作展品，在墙上这件作品通过独特的艺术表现形式，展现了深厚的文化底蕴和艺术家的创作理念，为观众提供了丰富的视觉体验和审美享受。</t>
        </is>
      </c>
      <c r="E136" t="inlineStr">
        <is>
          <t>TH-D26</t>
        </is>
      </c>
      <c r="F136">
        <f>_xlfn.DISPIMG("ID_3D8C2582F2114A26899A72D21E90DDC3",1)</f>
        <v/>
      </c>
      <c r="G136">
        <f>IF(ISNUMBER(FIND("的介绍",D136)),"墙面展签，印有展品名称“"&amp;LEFT(D136,FIND("的介绍",D136)-1)&amp;"”，无长文本。",D136)</f>
        <v/>
      </c>
    </row>
    <row r="137">
      <c r="A137" t="inlineStr">
        <is>
          <t>TH-D28</t>
        </is>
      </c>
      <c r="B137" t="inlineStr">
        <is>
          <t>崂山小景</t>
        </is>
      </c>
      <c r="C137" t="inlineStr">
        <is>
          <t>Exhibit</t>
        </is>
      </c>
      <c r="D137" t="inlineStr">
        <is>
          <t>崂山小景画作展品，在墙上这件作品通过独特的艺术表现形式，展现了深厚的文化底蕴和艺术家的创作理念，为观众提供了丰富的视觉体验和审美享受。</t>
        </is>
      </c>
      <c r="E137" t="inlineStr">
        <is>
          <t>TH-D27</t>
        </is>
      </c>
      <c r="F137">
        <f>_xlfn.DISPIMG("ID_263390925412429D82F324B9C090A06E",1)</f>
        <v/>
      </c>
      <c r="G137">
        <f>IF(ISNUMBER(FIND("的介绍",D137)),"墙面展签，印有展品名称“"&amp;LEFT(D137,FIND("的介绍",D137)-1)&amp;"”，无长文本。",D137)</f>
        <v/>
      </c>
    </row>
    <row r="138">
      <c r="A138" t="inlineStr">
        <is>
          <t>TH-D29</t>
        </is>
      </c>
      <c r="B138" t="inlineStr">
        <is>
          <t>李村大枣树</t>
        </is>
      </c>
      <c r="C138" t="inlineStr">
        <is>
          <t>Exhibit</t>
        </is>
      </c>
      <c r="D138" t="inlineStr">
        <is>
          <t>李村大枣树画作展品，在墙上这件作品通过独特的艺术表现形式，展现了深厚的文化底蕴和艺术家的创作理念，为观众提供了丰富的视觉体验和审美享受。</t>
        </is>
      </c>
      <c r="E138" t="inlineStr">
        <is>
          <t>TH-I-D30</t>
        </is>
      </c>
      <c r="F138">
        <f>_xlfn.DISPIMG("ID_5712E806301B44D6BE4D61E31C641AF0",1)</f>
        <v/>
      </c>
      <c r="G138">
        <f>IF(ISNUMBER(FIND("的介绍",D138)),"墙面展签，印有展品名称“"&amp;LEFT(D138,FIND("的介绍",D138)-1)&amp;"”，无长文本。",D138)</f>
        <v/>
      </c>
    </row>
    <row r="139">
      <c r="A139" t="inlineStr">
        <is>
          <t>TH-I-D30</t>
        </is>
      </c>
      <c r="B139" t="inlineStr">
        <is>
          <t>说明文字</t>
        </is>
      </c>
      <c r="C139" t="inlineStr">
        <is>
          <t>Text</t>
        </is>
      </c>
      <c r="D139" t="inlineStr">
        <is>
          <t>李村大枣树介绍，墙上这件作品通过独特的艺术表现形式，展现了深厚的文化底蕴和艺术家的创作理念，为观众提供了丰富的视觉体验和审美享受。</t>
        </is>
      </c>
      <c r="E139" t="inlineStr">
        <is>
          <t>TH-D29</t>
        </is>
      </c>
      <c r="F139">
        <f>_xlfn.DISPIMG("ID_604B84081A5E4A2CBAB2C907D55ECB18",1)</f>
        <v/>
      </c>
      <c r="G139">
        <f>IF(ISNUMBER(FIND("的介绍",D139)),"墙面展签，印有展品名称“"&amp;LEFT(D139,FIND("的介绍",D139)-1)&amp;"”，无长文本。",D139)</f>
        <v/>
      </c>
    </row>
    <row r="140">
      <c r="A140" t="inlineStr">
        <is>
          <t>TH-D31</t>
        </is>
      </c>
      <c r="B140" t="inlineStr">
        <is>
          <t>苏州园林</t>
        </is>
      </c>
      <c r="C140" t="inlineStr">
        <is>
          <t>Exhibit</t>
        </is>
      </c>
      <c r="D140" t="inlineStr">
        <is>
          <t>苏州园林画作展品，在墙上这件作品通过独特的艺术表现形式，展现了深厚的文化底蕴和艺术家的创作理念，为观众提供了丰富的视觉体验和审美享受。</t>
        </is>
      </c>
      <c r="E140" t="inlineStr">
        <is>
          <t>TH-I-D32</t>
        </is>
      </c>
      <c r="F140">
        <f>_xlfn.DISPIMG("ID_37C65A129F674A6481AD4F462F782770",1)</f>
        <v/>
      </c>
      <c r="G140">
        <f>IF(ISNUMBER(FIND("的介绍",D140)),"墙面展签，印有展品名称“"&amp;LEFT(D140,FIND("的介绍",D140)-1)&amp;"”，无长文本。",D140)</f>
        <v/>
      </c>
    </row>
    <row r="141">
      <c r="A141" t="inlineStr">
        <is>
          <t>TH-I-D32</t>
        </is>
      </c>
      <c r="B141" t="inlineStr">
        <is>
          <t>说明文字</t>
        </is>
      </c>
      <c r="C141" t="inlineStr">
        <is>
          <t>Text</t>
        </is>
      </c>
      <c r="D141" t="inlineStr">
        <is>
          <t>苏州园林介绍，墙上这件作品通过独特的艺术表现形式，展现了深厚的文化底蕴和艺术家的创作理念，为观众提供了丰富的视觉体验和审美享受。</t>
        </is>
      </c>
      <c r="E141" t="inlineStr">
        <is>
          <t>TH-D31</t>
        </is>
      </c>
      <c r="F141">
        <f>_xlfn.DISPIMG("ID_C4D3B03B93DF4B5C9A316C6B6C2E3EE1",1)</f>
        <v/>
      </c>
      <c r="G141">
        <f>IF(ISNUMBER(FIND("的介绍",D141)),"墙面展签，印有展品名称“"&amp;LEFT(D141,FIND("的介绍",D141)-1)&amp;"”，无长文本。",D141)</f>
        <v/>
      </c>
    </row>
    <row r="142">
      <c r="A142" t="inlineStr">
        <is>
          <t>TH-I-D33</t>
        </is>
      </c>
      <c r="B142" t="inlineStr">
        <is>
          <t>说明文字</t>
        </is>
      </c>
      <c r="C142" t="inlineStr">
        <is>
          <t>Text</t>
        </is>
      </c>
      <c r="D142" t="inlineStr">
        <is>
          <t>第三乐章，对“聆听人间烟火，合奏天地韵律”的介绍，背景为白墙</t>
        </is>
      </c>
      <c r="E142" t="inlineStr">
        <is>
          <t>TH-D01</t>
        </is>
      </c>
      <c r="F142">
        <f>_xlfn.DISPIMG("ID_7EA2826E60FC4269BA839848C5F05A0B",1)</f>
        <v/>
      </c>
      <c r="G142">
        <f>IF(ISNUMBER(FIND("的介绍",D142)),"墙面展签，印有展品名称“"&amp;LEFT(D142,FIND("的介绍",D142)-1)&amp;"”，无长文本。",D142)</f>
        <v/>
      </c>
    </row>
    <row r="143">
      <c r="A143" t="inlineStr">
        <is>
          <t>TH-I-D34</t>
        </is>
      </c>
      <c r="B143" t="inlineStr">
        <is>
          <t>说明文字</t>
        </is>
      </c>
      <c r="C143" t="inlineStr">
        <is>
          <t>Text</t>
        </is>
      </c>
      <c r="D143" t="inlineStr">
        <is>
          <t>关于祝华重对他的评价，主要是钢笔写生和重彩画由量到质的飞跃。</t>
        </is>
      </c>
      <c r="E143" t="inlineStr">
        <is>
          <t>TH-D02</t>
        </is>
      </c>
      <c r="F143">
        <f>_xlfn.DISPIMG("ID_9A5975D3A72F4BC28372932CFE55A2AF",1)</f>
        <v/>
      </c>
      <c r="G143">
        <f>IF(ISNUMBER(FIND("的介绍",D143)),"墙面展签，印有展品名称“"&amp;LEFT(D143,FIND("的介绍",D143)-1)&amp;"”，无长文本。",D143)</f>
        <v/>
      </c>
    </row>
    <row r="144">
      <c r="A144" t="inlineStr">
        <is>
          <t>TH-D35</t>
        </is>
      </c>
      <c r="B144" t="inlineStr">
        <is>
          <t>千岛湖</t>
        </is>
      </c>
      <c r="C144" t="inlineStr">
        <is>
          <t>Exhibit</t>
        </is>
      </c>
      <c r="D144" t="inlineStr">
        <is>
          <t>长江三峡的山水国画，描绘的是三峡（如瞿塘峡、巫峡一带）的壮丽风光：画面里的险峻山峦、碧绿水道，搭配江上的游船，正是三峡 “两岸连山、江中行舟” 的经典景致。</t>
        </is>
      </c>
      <c r="E144" t="inlineStr">
        <is>
          <t>TH-I21</t>
        </is>
      </c>
      <c r="F144">
        <f>_xlfn.DISPIMG("ID_79C19CD75B1E4D1CB13197E3D7F2E0D0",1)</f>
        <v/>
      </c>
      <c r="G144">
        <f>IF(ISNUMBER(FIND("的介绍",D144)),"墙面展签，印有展品名称“"&amp;LEFT(D144,FIND("的介绍",D144)-1)&amp;"”，无长文本。",D144)</f>
        <v/>
      </c>
    </row>
    <row r="145">
      <c r="A145" t="inlineStr">
        <is>
          <t>TH-D36</t>
        </is>
      </c>
      <c r="B145" t="inlineStr">
        <is>
          <t>人与小猪</t>
        </is>
      </c>
      <c r="C145" t="inlineStr">
        <is>
          <t>Exhibit</t>
        </is>
      </c>
      <c r="D145" t="inlineStr">
        <is>
          <t>这是一幅精美的艺术画作，描绘了一个妇女抱着一只小猪，盆里还装着两只小猪的场景。该画挂在白墙左边。作品采用传统绘画技法，色彩丰富，构图精巧，展现了艺术家深厚的功底和独特的审美视角。</t>
        </is>
      </c>
      <c r="E145" t="inlineStr">
        <is>
          <t>TH-D37</t>
        </is>
      </c>
      <c r="F145">
        <f>_xlfn.DISPIMG("ID_B45B5B46FB0544D099D187A500F62BBF",1)</f>
        <v/>
      </c>
      <c r="G145">
        <f>IF(ISNUMBER(FIND("的介绍",D145)),"墙面展签，印有展品名称“"&amp;LEFT(D145,FIND("的介绍",D145)-1)&amp;"”，无长文本。",D145)</f>
        <v/>
      </c>
    </row>
    <row r="146">
      <c r="A146" t="inlineStr">
        <is>
          <t>TH-D37</t>
        </is>
      </c>
      <c r="B146" t="inlineStr">
        <is>
          <t>收割稻谷</t>
        </is>
      </c>
      <c r="C146" t="inlineStr">
        <is>
          <t>Exhibit</t>
        </is>
      </c>
      <c r="D146" t="inlineStr">
        <is>
          <t>这是一幅精美的艺术画作，描绘了一个妇女收割稻谷的场景。该画挂在白墙上。作品采用传统绘画技法，色彩丰富，构图精巧，展现了艺术家深厚的功底和独特的审美视角。</t>
        </is>
      </c>
      <c r="E146" t="inlineStr">
        <is>
          <t>TH-D38</t>
        </is>
      </c>
      <c r="F146">
        <f>_xlfn.DISPIMG("ID_76ECB1939A704D988A99D838859283D2",1)</f>
        <v/>
      </c>
      <c r="G146">
        <f>IF(ISNUMBER(FIND("的介绍",D146)),"墙面展签，印有展品名称“"&amp;LEFT(D146,FIND("的介绍",D146)-1)&amp;"”，无长文本。",D146)</f>
        <v/>
      </c>
    </row>
    <row r="147">
      <c r="A147" t="inlineStr">
        <is>
          <t>TH-D38</t>
        </is>
      </c>
      <c r="B147" t="inlineStr">
        <is>
          <t>采茶妇女</t>
        </is>
      </c>
      <c r="C147" t="inlineStr">
        <is>
          <t>Exhibit</t>
        </is>
      </c>
      <c r="D147" t="inlineStr">
        <is>
          <t>这是一幅精美的艺术画作，描绘了一个妇女采茶花的场景。该画挂在白墙上。作品采用传统绘画技法，色彩丰富，构图精巧，展现了艺术家深厚的功底和独特的审美视角。</t>
        </is>
      </c>
      <c r="E147" t="inlineStr">
        <is>
          <t>TH-D39</t>
        </is>
      </c>
      <c r="F147">
        <f>_xlfn.DISPIMG("ID_21D658CB6BA74E1885FA7D06E8497F6D",1)</f>
        <v/>
      </c>
      <c r="G147">
        <f>IF(ISNUMBER(FIND("的介绍",D147)),"墙面展签，印有展品名称“"&amp;LEFT(D147,FIND("的介绍",D147)-1)&amp;"”，无长文本。",D147)</f>
        <v/>
      </c>
    </row>
    <row r="148">
      <c r="A148" t="inlineStr">
        <is>
          <t>TH-D39</t>
        </is>
      </c>
      <c r="B148" t="inlineStr">
        <is>
          <t>泥匠制陶</t>
        </is>
      </c>
      <c r="C148" t="inlineStr">
        <is>
          <t>Exhibit</t>
        </is>
      </c>
      <c r="D148" t="inlineStr">
        <is>
          <t>这是一幅精美的艺术画作，描绘了一个泥匠人在手工制作陶瓷罐罐的场景。该画挂在白墙上。作品采用传统绘画技法，色彩丰富，构图精巧，展现了艺术家深厚的功底和独特的审美视角。</t>
        </is>
      </c>
      <c r="E148" t="inlineStr">
        <is>
          <t>TH-D40</t>
        </is>
      </c>
      <c r="F148">
        <f>_xlfn.DISPIMG("ID_60D10BFCE54D429093B14C2943AD7049",1)</f>
        <v/>
      </c>
      <c r="G148">
        <f>IF(ISNUMBER(FIND("的介绍",D148)),"墙面展签，印有展品名称“"&amp;LEFT(D148,FIND("的介绍",D148)-1)&amp;"”，无长文本。",D148)</f>
        <v/>
      </c>
    </row>
    <row r="149">
      <c r="A149" t="inlineStr">
        <is>
          <t>TH-D40</t>
        </is>
      </c>
      <c r="B149" t="inlineStr">
        <is>
          <t>海边姑娘</t>
        </is>
      </c>
      <c r="C149" t="inlineStr">
        <is>
          <t>Exhibit</t>
        </is>
      </c>
      <c r="D149" t="inlineStr">
        <is>
          <t>这是一幅精美的艺术画作，描绘了一个妇女躺在海边，旁边有贝壳的场景。该画挂在白墙上。作品采用传统绘画技法，色彩丰富，构图精巧，展现了艺术家深厚的功底和独特的审美视角。</t>
        </is>
      </c>
      <c r="E149" t="inlineStr">
        <is>
          <t>TH-D41</t>
        </is>
      </c>
      <c r="F149">
        <f>_xlfn.DISPIMG("ID_CE020419AE894FBC834EE02263A99AAF",1)</f>
        <v/>
      </c>
      <c r="G149">
        <f>IF(ISNUMBER(FIND("的介绍",D149)),"墙面展签，印有展品名称“"&amp;LEFT(D149,FIND("的介绍",D149)-1)&amp;"”，无长文本。",D149)</f>
        <v/>
      </c>
    </row>
    <row r="150">
      <c r="A150" t="inlineStr">
        <is>
          <t>TH-D41</t>
        </is>
      </c>
      <c r="B150" t="inlineStr">
        <is>
          <t>织布妇女</t>
        </is>
      </c>
      <c r="C150" t="inlineStr">
        <is>
          <t>Exhibit</t>
        </is>
      </c>
      <c r="D150" t="inlineStr">
        <is>
          <t>这是一幅精美的艺术画作，描绘了一个妇女在用织布机手工织线的场景。该画挂在白墙上。作品采用传统绘画技法，色彩丰富，构图精巧，展现了艺术家深厚的功底和独特的审美视角。</t>
        </is>
      </c>
      <c r="E150" t="inlineStr">
        <is>
          <t>TH-D42</t>
        </is>
      </c>
      <c r="F150">
        <f>_xlfn.DISPIMG("ID_B98DEE8C4BA5439790A6819713B0628E",1)</f>
        <v/>
      </c>
      <c r="G150">
        <f>IF(ISNUMBER(FIND("的介绍",D150)),"墙面展签，印有展品名称“"&amp;LEFT(D150,FIND("的介绍",D150)-1)&amp;"”，无长文本。",D150)</f>
        <v/>
      </c>
    </row>
    <row r="151">
      <c r="A151" t="inlineStr">
        <is>
          <t>TH-D42</t>
        </is>
      </c>
      <c r="B151" t="inlineStr">
        <is>
          <t>拾果妇女</t>
        </is>
      </c>
      <c r="C151" t="inlineStr">
        <is>
          <t>Exhibit</t>
        </is>
      </c>
      <c r="D151" t="inlineStr">
        <is>
          <t>这是一幅精美的艺术画作，描绘了妇女在果树下弯腰捡拾果子的场景。该画挂在白墙右侧。作品采用传统绘画技法，色彩丰富，构图精巧，展现了艺术家深厚的功底和独特的审美视角。</t>
        </is>
      </c>
      <c r="E151" t="inlineStr">
        <is>
          <t>TH-D41</t>
        </is>
      </c>
      <c r="F151">
        <f>_xlfn.DISPIMG("ID_2F4B212094FC4456B671D92FADBE761D",1)</f>
        <v/>
      </c>
      <c r="G151">
        <f>IF(ISNUMBER(FIND("的介绍",D151)),"墙面展签，印有展品名称“"&amp;LEFT(D151,FIND("的介绍",D151)-1)&amp;"”，无长文本。",D151)</f>
        <v/>
      </c>
    </row>
    <row r="152">
      <c r="A152" t="inlineStr">
        <is>
          <t>TH-D43</t>
        </is>
      </c>
      <c r="B152" t="inlineStr">
        <is>
          <t>女人和葡萄</t>
        </is>
      </c>
      <c r="C152" t="inlineStr">
        <is>
          <t>Exhibit</t>
        </is>
      </c>
      <c r="D152" t="inlineStr">
        <is>
          <t>在墙上挂着画着一个女人剪葡萄的画这件作品通过独特的艺术表现形式，展现了深厚的文化底蕴和艺术家的创作理念，为观众提供了丰富的视觉体验和审美享受。</t>
        </is>
      </c>
      <c r="E152" t="inlineStr">
        <is>
          <t>TH-D44</t>
        </is>
      </c>
      <c r="F152">
        <f>_xlfn.DISPIMG("ID_9AD983DCEA8A4B8E9028D51A0F3100AC",1)</f>
        <v/>
      </c>
      <c r="G152">
        <f>IF(ISNUMBER(FIND("的介绍",D152)),"墙面展签，印有展品名称“"&amp;LEFT(D152,FIND("的介绍",D152)-1)&amp;"”，无长文本。",D152)</f>
        <v/>
      </c>
    </row>
    <row r="153">
      <c r="A153" t="inlineStr">
        <is>
          <t>TH-D44</t>
        </is>
      </c>
      <c r="B153" t="inlineStr">
        <is>
          <t>人和羊</t>
        </is>
      </c>
      <c r="C153" t="inlineStr">
        <is>
          <t>Exhibit</t>
        </is>
      </c>
      <c r="D153" t="inlineStr">
        <is>
          <t>在墙上挂着画着一个老人抓着羊的画这件作品通过独特的艺术表现形式，展现了深厚的文化底蕴和艺术家的创作理念，为观众提供了丰富的视觉体验和审美享受。</t>
        </is>
      </c>
      <c r="E153" t="inlineStr">
        <is>
          <t>TH-D43</t>
        </is>
      </c>
      <c r="F153">
        <f>_xlfn.DISPIMG("ID_6D6CF642DAE6452BA307D8F785DFCB8C",1)</f>
        <v/>
      </c>
      <c r="G153">
        <f>IF(ISNUMBER(FIND("的介绍",D153)),"墙面展签，印有展品名称“"&amp;LEFT(D153,FIND("的介绍",D153)-1)&amp;"”，无长文本。",D153)</f>
        <v/>
      </c>
    </row>
    <row r="154">
      <c r="A154" t="inlineStr">
        <is>
          <t>TH-I-D45</t>
        </is>
      </c>
      <c r="B154" t="inlineStr">
        <is>
          <t>说明文字</t>
        </is>
      </c>
      <c r="C154" t="inlineStr">
        <is>
          <t>Text</t>
        </is>
      </c>
      <c r="D154" t="inlineStr">
        <is>
          <t>农林牧副渔这些画的大小和时间这件作品通过独特的艺术表现形式，展现了深厚的文化底蕴和艺术家的创作理念，为观众提供了丰富的视觉体验和审美享受。</t>
        </is>
      </c>
      <c r="E154" t="inlineStr">
        <is>
          <t>TH-D22</t>
        </is>
      </c>
      <c r="F154">
        <f>_xlfn.DISPIMG("ID_BD12B0D915314FB39EA7FBDC2FEBCD6D",1)</f>
        <v/>
      </c>
      <c r="G154">
        <f>IF(ISNUMBER(FIND("的介绍",D154)),"墙面展签，印有展品名称“"&amp;LEFT(D154,FIND("的介绍",D154)-1)&amp;"”，无长文本。",D154)</f>
        <v/>
      </c>
    </row>
    <row r="155">
      <c r="A155" t="inlineStr">
        <is>
          <t>TH-D46</t>
        </is>
      </c>
      <c r="B155" t="inlineStr">
        <is>
          <t>山</t>
        </is>
      </c>
      <c r="C155" t="inlineStr">
        <is>
          <t>Exhibit</t>
        </is>
      </c>
      <c r="D155" t="inlineStr">
        <is>
          <t>一幅画着山的彩绘画挂在墙上这件作品通过独特的艺术表现形式，展现了深厚的文化底蕴和艺术家的创作理念，为观众提供了丰富的视觉体验和审美享受。</t>
        </is>
      </c>
      <c r="E155" t="inlineStr">
        <is>
          <t>TH-D45</t>
        </is>
      </c>
      <c r="F155">
        <f>_xlfn.DISPIMG("ID_5C117117F09F45A99502E3FAC7DC1B8A",1)</f>
        <v/>
      </c>
      <c r="G155">
        <f>IF(ISNUMBER(FIND("的介绍",D155)),"墙面展签，印有展品名称“"&amp;LEFT(D155,FIND("的介绍",D155)-1)&amp;"”，无长文本。",D155)</f>
        <v/>
      </c>
    </row>
    <row r="156">
      <c r="A156" t="inlineStr">
        <is>
          <t>TH-D47</t>
        </is>
      </c>
      <c r="B156" t="inlineStr">
        <is>
          <t>放风筝</t>
        </is>
      </c>
      <c r="C156" t="inlineStr">
        <is>
          <t>Exhibit</t>
        </is>
      </c>
      <c r="D156" t="inlineStr">
        <is>
          <t>飞舞的风筝画满了整个墙壁，各种各样这件作品通过独特的艺术表现形式，展现了深厚的文化底蕴和艺术家的创作理念，为观众提供了丰富的视觉体验和审美享受。</t>
        </is>
      </c>
      <c r="E156" t="inlineStr">
        <is>
          <t>TH-D48</t>
        </is>
      </c>
      <c r="F156">
        <f>_xlfn.DISPIMG("ID_90F9FE3EF88E40C2B798EA7516892F09",1)</f>
        <v/>
      </c>
      <c r="G156">
        <f>IF(ISNUMBER(FIND("的介绍",D156)),"墙面展签，印有展品名称“"&amp;LEFT(D156,FIND("的介绍",D156)-1)&amp;"”，无长文本。",D156)</f>
        <v/>
      </c>
    </row>
    <row r="157">
      <c r="A157" t="inlineStr">
        <is>
          <t>TH-D48</t>
        </is>
      </c>
      <c r="B157" t="inlineStr">
        <is>
          <t>放风筝</t>
        </is>
      </c>
      <c r="C157" t="inlineStr">
        <is>
          <t>Exhibit</t>
        </is>
      </c>
      <c r="D157" t="inlineStr">
        <is>
          <t>一幅女人拿着风筝的素描平放在桌子上这件作品通过独特的艺术表现形式，展现了深厚的文化底蕴和艺术家的创作理念，为观众提供了丰富的视觉体验和审美享受。</t>
        </is>
      </c>
      <c r="E157" t="inlineStr">
        <is>
          <t>TH-D47</t>
        </is>
      </c>
      <c r="F157">
        <f>_xlfn.DISPIMG("ID_5C06D4C5AB124D20A3BD82F1C1C2FBA5",1)</f>
        <v/>
      </c>
      <c r="G157">
        <f>IF(ISNUMBER(FIND("的介绍",D157)),"墙面展签，印有展品名称“"&amp;LEFT(D157,FIND("的介绍",D157)-1)&amp;"”，无长文本。",D157)</f>
        <v/>
      </c>
    </row>
    <row r="158">
      <c r="A158" t="inlineStr">
        <is>
          <t>TH-D49</t>
        </is>
      </c>
      <c r="B158" t="inlineStr">
        <is>
          <t>风筝</t>
        </is>
      </c>
      <c r="C158" t="inlineStr">
        <is>
          <t>Exhibit</t>
        </is>
      </c>
      <c r="D158" t="inlineStr">
        <is>
          <t>多个风筝的画平放在桌子上这件作品通过独特的艺术表现形式，展现了深厚的文化底蕴和艺术家的创作理念，为观众提供了丰富的视觉体验和审美享受。</t>
        </is>
      </c>
      <c r="E158" t="inlineStr">
        <is>
          <t>TH-D48</t>
        </is>
      </c>
      <c r="F158">
        <f>_xlfn.DISPIMG("ID_D779232D150F48B58DFE66896AE1EE66",1)</f>
        <v/>
      </c>
      <c r="G158">
        <f>IF(ISNUMBER(FIND("的介绍",D158)),"墙面展签，印有展品名称“"&amp;LEFT(D158,FIND("的介绍",D158)-1)&amp;"”，无长文本。",D158)</f>
        <v/>
      </c>
    </row>
    <row r="159">
      <c r="A159" t="inlineStr">
        <is>
          <t>TH-D50</t>
        </is>
      </c>
      <c r="B159" t="inlineStr">
        <is>
          <t>风筝</t>
        </is>
      </c>
      <c r="C159" t="inlineStr">
        <is>
          <t>Exhibit</t>
        </is>
      </c>
      <c r="D159" t="inlineStr">
        <is>
          <t>多个风筝的画平放在桌子上这件作品通过独特的艺术表现形式，展现了深厚的文化底蕴和艺术家的创作理念，为观众提供了丰富的视觉体验和审美享受。</t>
        </is>
      </c>
      <c r="E159" t="inlineStr">
        <is>
          <t>TH-D51</t>
        </is>
      </c>
      <c r="F159">
        <f>_xlfn.DISPIMG("ID_87C950BE93A94BD383AAF193A8F968F9",1)</f>
        <v/>
      </c>
      <c r="G159">
        <f>IF(ISNUMBER(FIND("的介绍",D159)),"墙面展签，印有展品名称“"&amp;LEFT(D159,FIND("的介绍",D159)-1)&amp;"”，无长文本。",D159)</f>
        <v/>
      </c>
    </row>
    <row r="160">
      <c r="A160" t="inlineStr">
        <is>
          <t>TH-D51</t>
        </is>
      </c>
      <c r="B160" t="inlineStr">
        <is>
          <t>风筝</t>
        </is>
      </c>
      <c r="C160" t="inlineStr">
        <is>
          <t>Exhibit</t>
        </is>
      </c>
      <c r="D160" t="inlineStr">
        <is>
          <t>多个风筝的画平放在桌子上这件作品通过独特的艺术表现形式，展现了深厚的文化底蕴和艺术家的创作理念，为观众提供了丰富的视觉体验和审美享受。</t>
        </is>
      </c>
      <c r="E160" t="inlineStr">
        <is>
          <t>TH-D50</t>
        </is>
      </c>
      <c r="F160">
        <f>_xlfn.DISPIMG("ID_890F6357BE1346FCB6E2C55C1C5A3494",1)</f>
        <v/>
      </c>
      <c r="G160">
        <f>IF(ISNUMBER(FIND("的介绍",D160)),"墙面展签，印有展品名称“"&amp;LEFT(D160,FIND("的介绍",D160)-1)&amp;"”，无长文本。",D160)</f>
        <v/>
      </c>
    </row>
    <row r="161">
      <c r="A161" t="inlineStr">
        <is>
          <t>TH-D52</t>
        </is>
      </c>
      <c r="B161" t="inlineStr">
        <is>
          <t>风筝</t>
        </is>
      </c>
      <c r="C161" t="inlineStr">
        <is>
          <t>Exhibit</t>
        </is>
      </c>
      <c r="D161" t="inlineStr">
        <is>
          <t>多个风筝的画平放在桌子上这件作品通过独特的艺术表现形式，展现了深厚的文化底蕴和艺术家的创作理念，为观众提供了丰富的视觉体验和审美享受。</t>
        </is>
      </c>
      <c r="E161" t="inlineStr">
        <is>
          <t>TH-D51</t>
        </is>
      </c>
      <c r="F161">
        <f>_xlfn.DISPIMG("ID_1766D42A9EA14407A72444DFDEF5C8C9",1)</f>
        <v/>
      </c>
      <c r="G161">
        <f>IF(ISNUMBER(FIND("的介绍",D161)),"墙面展签，印有展品名称“"&amp;LEFT(D161,FIND("的介绍",D161)-1)&amp;"”，无长文本。",D161)</f>
        <v/>
      </c>
    </row>
    <row r="162">
      <c r="A162" t="inlineStr">
        <is>
          <t>TH-D53</t>
        </is>
      </c>
      <c r="B162" t="inlineStr">
        <is>
          <t>放风筝</t>
        </is>
      </c>
      <c r="C162" t="inlineStr">
        <is>
          <t>Exhibit</t>
        </is>
      </c>
      <c r="D162" t="inlineStr">
        <is>
          <t>桌子上放着一幅女人拿着风筝的画这件作品通过独特的艺术表现形式，展现了深厚的文化底蕴和艺术家的创作理念，为观众提供了丰富的视觉体验和审美享受。</t>
        </is>
      </c>
      <c r="E162" t="inlineStr">
        <is>
          <t>TH-D52</t>
        </is>
      </c>
      <c r="F162">
        <f>_xlfn.DISPIMG("ID_26216AEF0DFC425AA017D8A283B597DE",1)</f>
        <v/>
      </c>
      <c r="G162">
        <f>IF(ISNUMBER(FIND("的介绍",D162)),"墙面展签，印有展品名称“"&amp;LEFT(D162,FIND("的介绍",D162)-1)&amp;"”，无长文本。",D162)</f>
        <v/>
      </c>
    </row>
    <row r="163">
      <c r="A163" t="inlineStr">
        <is>
          <t>TH-D54</t>
        </is>
      </c>
      <c r="B163" t="inlineStr">
        <is>
          <t>风筝</t>
        </is>
      </c>
      <c r="C163" t="inlineStr">
        <is>
          <t>Exhibit</t>
        </is>
      </c>
      <c r="D163" t="inlineStr">
        <is>
          <t>多个风筝的画平放在桌子上这件作品通过独特的艺术表现形式，展现了深厚的文化底蕴和艺术家的创作理念，为观众提供了丰富的视觉体验和审美享受。</t>
        </is>
      </c>
      <c r="E163" t="inlineStr">
        <is>
          <t>TH-D53</t>
        </is>
      </c>
      <c r="F163">
        <f>_xlfn.DISPIMG("ID_71DA1A4064194230AEA0FA46A4FE48FD",1)</f>
        <v/>
      </c>
      <c r="G163">
        <f>IF(ISNUMBER(FIND("的介绍",D163)),"墙面展签，印有展品名称“"&amp;LEFT(D163,FIND("的介绍",D163)-1)&amp;"”，无长文本。",D163)</f>
        <v/>
      </c>
    </row>
    <row r="164">
      <c r="A164" t="inlineStr">
        <is>
          <t>TH-D55</t>
        </is>
      </c>
      <c r="B164" t="inlineStr">
        <is>
          <t>风筝</t>
        </is>
      </c>
      <c r="C164" t="inlineStr">
        <is>
          <t>Exhibit</t>
        </is>
      </c>
      <c r="D164" t="inlineStr">
        <is>
          <t>多个风筝的画平放在桌子上这件作品通过独特的艺术表现形式，展现了深厚的文化底蕴和艺术家的创作理念，为观众提供了丰富的视觉体验和审美享受。</t>
        </is>
      </c>
      <c r="E164" t="inlineStr">
        <is>
          <t>TH-D54</t>
        </is>
      </c>
      <c r="F164">
        <f>_xlfn.DISPIMG("ID_2EC091C71C6B4FE8A3D81FF7BDC2638A",1)</f>
        <v/>
      </c>
      <c r="G164">
        <f>IF(ISNUMBER(FIND("的介绍",D164)),"墙面展签，印有展品名称“"&amp;LEFT(D164,FIND("的介绍",D164)-1)&amp;"”，无长文本。",D164)</f>
        <v/>
      </c>
    </row>
    <row r="165">
      <c r="A165" t="inlineStr">
        <is>
          <t>TH-D56</t>
        </is>
      </c>
      <c r="B165" t="inlineStr">
        <is>
          <t>放风筝</t>
        </is>
      </c>
      <c r="C165" t="inlineStr">
        <is>
          <t>Exhibit</t>
        </is>
      </c>
      <c r="D165" t="inlineStr">
        <is>
          <t>桌子上放着一幅女人带着孩子放风筝的画这件作品通过独特的艺术表现形式，展现了深厚的文化底蕴和艺术家的创作理念，为观众提供了丰富的视觉体验和审美享受。</t>
        </is>
      </c>
      <c r="E165" t="inlineStr">
        <is>
          <t>TH-D55</t>
        </is>
      </c>
      <c r="F165">
        <f>_xlfn.DISPIMG("ID_7EB7025A15FC45F6888A9227D958AD37",1)</f>
        <v/>
      </c>
      <c r="G165">
        <f>IF(ISNUMBER(FIND("的介绍",D165)),"墙面展签，印有展品名称“"&amp;LEFT(D165,FIND("的介绍",D165)-1)&amp;"”，无长文本。",D165)</f>
        <v/>
      </c>
    </row>
    <row r="166">
      <c r="A166" t="inlineStr">
        <is>
          <t>TH-D57</t>
        </is>
      </c>
      <c r="B166" t="inlineStr">
        <is>
          <t>风筝</t>
        </is>
      </c>
      <c r="C166" t="inlineStr">
        <is>
          <t>Exhibit</t>
        </is>
      </c>
      <c r="D166" t="inlineStr">
        <is>
          <t>桌子上放着一幅画着好多风筝的画，每个都有单独介绍这件作品通过独特的艺术表现形式，展现了深厚的文化底蕴和艺术家的创作理念，为观众提供了丰富的视觉体验和审美享受。</t>
        </is>
      </c>
      <c r="E166" t="inlineStr">
        <is>
          <t>TH-D58</t>
        </is>
      </c>
      <c r="F166">
        <f>_xlfn.DISPIMG("ID_D833C9D95AA54113B02B971542DEEF39",1)</f>
        <v/>
      </c>
      <c r="G166">
        <f>IF(ISNUMBER(FIND("的介绍",D166)),"墙面展签，印有展品名称“"&amp;LEFT(D166,FIND("的介绍",D166)-1)&amp;"”，无长文本。",D166)</f>
        <v/>
      </c>
    </row>
    <row r="167">
      <c r="A167" t="inlineStr">
        <is>
          <t>TH-D58</t>
        </is>
      </c>
      <c r="B167" t="inlineStr">
        <is>
          <t>风筝</t>
        </is>
      </c>
      <c r="C167" t="inlineStr">
        <is>
          <t>Exhibit</t>
        </is>
      </c>
      <c r="D167" t="inlineStr">
        <is>
          <t>桌子上放着一幅画着好多风筝的画，每个都有单独介绍这件作品通过独特的艺术表现形式，展现了深厚的文化底蕴和艺术家的创作理念，为观众提供了丰富的视觉体验和审美享受。</t>
        </is>
      </c>
      <c r="E167" t="inlineStr">
        <is>
          <t>TH-D57</t>
        </is>
      </c>
      <c r="F167">
        <f>_xlfn.DISPIMG("ID_F1E141112B05475B938255A4EC3F87CA",1)</f>
        <v/>
      </c>
      <c r="G167">
        <f>IF(ISNUMBER(FIND("的介绍",D167)),"墙面展签，印有展品名称“"&amp;LEFT(D167,FIND("的介绍",D167)-1)&amp;"”，无长文本。",D167)</f>
        <v/>
      </c>
    </row>
    <row r="168">
      <c r="A168" t="inlineStr">
        <is>
          <t>TH-D59</t>
        </is>
      </c>
      <c r="B168" t="inlineStr">
        <is>
          <t>风筝</t>
        </is>
      </c>
      <c r="C168" t="inlineStr">
        <is>
          <t>Exhibit</t>
        </is>
      </c>
      <c r="D168" t="inlineStr">
        <is>
          <t>桌子上放着一幅画着好多放飞风筝的画这件作品通过独特的艺术表现形式，展现了深厚的文化底蕴和艺术家的创作理念，为观众提供了丰富的视觉体验和审美享受。</t>
        </is>
      </c>
      <c r="E168" t="inlineStr">
        <is>
          <t>TH-D58</t>
        </is>
      </c>
      <c r="F168">
        <f>_xlfn.DISPIMG("ID_8493A1E833E24F57A31A926887F10361",1)</f>
        <v/>
      </c>
      <c r="G168">
        <f>IF(ISNUMBER(FIND("的介绍",D168)),"墙面展签，印有展品名称“"&amp;LEFT(D168,FIND("的介绍",D168)-1)&amp;"”，无长文本。",D168)</f>
        <v/>
      </c>
    </row>
    <row r="169">
      <c r="A169" t="inlineStr">
        <is>
          <t>TH-D60</t>
        </is>
      </c>
      <c r="B169" t="inlineStr">
        <is>
          <t>风筝</t>
        </is>
      </c>
      <c r="C169" t="inlineStr">
        <is>
          <t>Exhibit</t>
        </is>
      </c>
      <c r="D169" t="inlineStr">
        <is>
          <t>桌子上放着一幅画着好多放飞风筝的画这件作品通过独特的艺术表现形式，展现了深厚的文化底蕴和艺术家的创作理念，为观众提供了丰富的视觉体验和审美享受。</t>
        </is>
      </c>
      <c r="E169" t="inlineStr">
        <is>
          <t>TH-D59</t>
        </is>
      </c>
      <c r="F169">
        <f>_xlfn.DISPIMG("ID_71470916B16B4810B09ED97ABB4A7A70",1)</f>
        <v/>
      </c>
      <c r="G169">
        <f>IF(ISNUMBER(FIND("的介绍",D169)),"墙面展签，印有展品名称“"&amp;LEFT(D169,FIND("的介绍",D169)-1)&amp;"”，无长文本。",D169)</f>
        <v/>
      </c>
    </row>
    <row r="170">
      <c r="A170" t="inlineStr">
        <is>
          <t>TH-D61</t>
        </is>
      </c>
      <c r="B170" t="inlineStr">
        <is>
          <t>风筝</t>
        </is>
      </c>
      <c r="C170" t="inlineStr">
        <is>
          <t>Exhibit</t>
        </is>
      </c>
      <c r="D170" t="inlineStr">
        <is>
          <t>桌子上放着一幅画着好多风筝的画，每个都有单独介绍这件作品通过独特的艺术表现形式，展现了深厚的文化底蕴和艺术家的创作理念，为观众提供了丰富的视觉体验和审美享受。</t>
        </is>
      </c>
      <c r="E170" t="inlineStr">
        <is>
          <t>TH-D60</t>
        </is>
      </c>
      <c r="F170">
        <f>_xlfn.DISPIMG("ID_168AA8C549D548738A9F2D39BB61BDC3",1)</f>
        <v/>
      </c>
      <c r="G170">
        <f>IF(ISNUMBER(FIND("的介绍",D170)),"墙面展签，印有展品名称“"&amp;LEFT(D170,FIND("的介绍",D170)-1)&amp;"”，无长文本。",D170)</f>
        <v/>
      </c>
    </row>
    <row r="171">
      <c r="A171" t="inlineStr">
        <is>
          <t>TH-D62</t>
        </is>
      </c>
      <c r="B171" t="inlineStr">
        <is>
          <t>风筝</t>
        </is>
      </c>
      <c r="C171" t="inlineStr">
        <is>
          <t>Exhibit</t>
        </is>
      </c>
      <c r="D171" t="inlineStr">
        <is>
          <t>桌子上放着一幅画着好多风筝的画这件作品通过独特的艺术表现形式，展现了深厚的文化底蕴和艺术家的创作理念，为观众提供了丰富的视觉体验和审美享受。</t>
        </is>
      </c>
      <c r="E171" t="inlineStr">
        <is>
          <t>TH-D61</t>
        </is>
      </c>
      <c r="F171">
        <f>_xlfn.DISPIMG("ID_63C536D086294F6085FD010933D37A10",1)</f>
        <v/>
      </c>
      <c r="G171">
        <f>IF(ISNUMBER(FIND("的介绍",D171)),"墙面展签，印有展品名称“"&amp;LEFT(D171,FIND("的介绍",D171)-1)&amp;"”，无长文本。",D171)</f>
        <v/>
      </c>
    </row>
    <row r="172">
      <c r="A172" t="inlineStr">
        <is>
          <t>TH-D63</t>
        </is>
      </c>
      <c r="B172" t="inlineStr">
        <is>
          <t>拿扇子的姑娘</t>
        </is>
      </c>
      <c r="C172" t="inlineStr">
        <is>
          <t>Exhibit</t>
        </is>
      </c>
      <c r="D172" t="inlineStr">
        <is>
          <t>一个手拿扇子的女人坐在湖边的画挂在墙上这件作品通过独特的艺术表现形式，展现了深厚的文化底蕴和艺术家的创作理念，为观众提供了丰富的视觉体验和审美享受。</t>
        </is>
      </c>
      <c r="E172" t="inlineStr">
        <is>
          <t>TH-D62</t>
        </is>
      </c>
      <c r="F172">
        <f>_xlfn.DISPIMG("ID_F465F1CB18764119AF3C02B08A143AA2",1)</f>
        <v/>
      </c>
      <c r="G172">
        <f>IF(ISNUMBER(FIND("的介绍",D172)),"墙面展签，印有展品名称“"&amp;LEFT(D172,FIND("的介绍",D172)-1)&amp;"”，无长文本。",D172)</f>
        <v/>
      </c>
    </row>
    <row r="173">
      <c r="A173" t="inlineStr">
        <is>
          <t>TH-D64</t>
        </is>
      </c>
      <c r="B173" t="inlineStr">
        <is>
          <t>房子</t>
        </is>
      </c>
      <c r="C173" t="inlineStr">
        <is>
          <t>Exhibit</t>
        </is>
      </c>
      <c r="D173" t="inlineStr">
        <is>
          <t>桌子上放着一幅画着高塔和房子的画这件作品通过独特的艺术表现形式，展现了深厚的文化底蕴和艺术家的创作理念，为观众提供了丰富的视觉体验和审美享受。</t>
        </is>
      </c>
      <c r="E173" t="inlineStr">
        <is>
          <t>TH-D63</t>
        </is>
      </c>
      <c r="F173">
        <f>_xlfn.DISPIMG("ID_58A28A9ED94140B0AA16524F0FDACE9D",1)</f>
        <v/>
      </c>
      <c r="G173">
        <f>IF(ISNUMBER(FIND("的介绍",D173)),"墙面展签，印有展品名称“"&amp;LEFT(D173,FIND("的介绍",D173)-1)&amp;"”，无长文本。",D173)</f>
        <v/>
      </c>
    </row>
    <row r="174">
      <c r="A174" t="inlineStr">
        <is>
          <t>TH-D65</t>
        </is>
      </c>
      <c r="B174" t="inlineStr">
        <is>
          <t>风筝</t>
        </is>
      </c>
      <c r="C174" t="inlineStr">
        <is>
          <t>Exhibit</t>
        </is>
      </c>
      <c r="D174" t="inlineStr">
        <is>
          <t>飞舞的风筝画满了整个墙壁，各种各样这件作品通过独特的艺术表现形式，展现了深厚的文化底蕴和艺术家的创作理念，为观众提供了丰富的视觉体验和审美享受。</t>
        </is>
      </c>
      <c r="E174" t="inlineStr">
        <is>
          <t>TH-D48</t>
        </is>
      </c>
      <c r="F174">
        <f>_xlfn.DISPIMG("ID_5963E9D8E5B549C8A83A75B97076CD0A",1)</f>
        <v/>
      </c>
      <c r="G174">
        <f>IF(ISNUMBER(FIND("的介绍",D174)),"墙面展签，印有展品名称“"&amp;LEFT(D174,FIND("的介绍",D174)-1)&amp;"”，无长文本。",D174)</f>
        <v/>
      </c>
    </row>
    <row r="175">
      <c r="A175" t="inlineStr">
        <is>
          <t>TH-D66</t>
        </is>
      </c>
      <c r="B175" t="inlineStr">
        <is>
          <t>放风筝</t>
        </is>
      </c>
      <c r="C175" t="inlineStr">
        <is>
          <t>Exhibit</t>
        </is>
      </c>
      <c r="D175" t="inlineStr">
        <is>
          <t>一幅画着好多风筝在天空飞的画斜放在桌子上这件作品通过独特的艺术表现形式，展现了深厚的文化底蕴和艺术家的创作理念，为观众提供了丰富的视觉体验和审美享受。</t>
        </is>
      </c>
      <c r="E175" t="inlineStr">
        <is>
          <t>TH-D65</t>
        </is>
      </c>
      <c r="F175">
        <f>_xlfn.DISPIMG("ID_E6F66790DED041B78B9CC4A2491CEC1D",1)</f>
        <v/>
      </c>
      <c r="G175">
        <f>IF(ISNUMBER(FIND("的介绍",D175)),"墙面展签，印有展品名称“"&amp;LEFT(D175,FIND("的介绍",D175)-1)&amp;"”，无长文本。",D175)</f>
        <v/>
      </c>
    </row>
    <row r="176">
      <c r="A176" t="inlineStr">
        <is>
          <t>TH-D67</t>
        </is>
      </c>
      <c r="B176" t="inlineStr">
        <is>
          <t>人</t>
        </is>
      </c>
      <c r="C176" t="inlineStr">
        <is>
          <t>Exhibit</t>
        </is>
      </c>
      <c r="D176" t="inlineStr">
        <is>
          <t>祝大年创作的西双版纳傣族生活主题工笔重彩人物组画（写生稿/成品稿）</t>
        </is>
      </c>
      <c r="E176" t="inlineStr">
        <is>
          <t>TH-D66</t>
        </is>
      </c>
      <c r="F176">
        <f>_xlfn.DISPIMG("ID_61F973BD28B24C30AE3C1319389086B4",1)</f>
        <v/>
      </c>
      <c r="G176">
        <f>IF(ISNUMBER(FIND("的介绍",D176)),"墙面展签，印有展品名称“"&amp;LEFT(D176,FIND("的介绍",D176)-1)&amp;"”，无长文本。",D176)</f>
        <v/>
      </c>
    </row>
    <row r="177">
      <c r="A177" t="inlineStr">
        <is>
          <t>TH-D68</t>
        </is>
      </c>
      <c r="B177" t="inlineStr">
        <is>
          <t>漓江春色</t>
        </is>
      </c>
      <c r="C177" t="inlineStr">
        <is>
          <t>Exhibit</t>
        </is>
      </c>
      <c r="D177" t="inlineStr">
        <is>
          <t>祝大年1960年创作的“漓江春色”纸本重彩这件作品通过独特的艺术表现形式，展现了深厚的文化底蕴和艺术家的创作理念，为观众提供了丰富的视觉体验和审美享受。</t>
        </is>
      </c>
      <c r="E177" t="inlineStr">
        <is>
          <t>TH-D67</t>
        </is>
      </c>
      <c r="F177">
        <f>_xlfn.DISPIMG("ID_B24DBDE484874E988298CAD8345FA967",1)</f>
        <v/>
      </c>
      <c r="G177">
        <f>IF(ISNUMBER(FIND("的介绍",D177)),"墙面展签，印有展品名称“"&amp;LEFT(D177,FIND("的介绍",D177)-1)&amp;"”，无长文本。",D177)</f>
        <v/>
      </c>
    </row>
    <row r="178">
      <c r="A178" t="inlineStr">
        <is>
          <t>TH-I-D69</t>
        </is>
      </c>
      <c r="B178" t="inlineStr">
        <is>
          <t>说明文字</t>
        </is>
      </c>
      <c r="C178" t="inlineStr">
        <is>
          <t>Text</t>
        </is>
      </c>
      <c r="D178" t="inlineStr">
        <is>
          <t>“什么是理想的画作呢？我认为应该……”这件作品通过独特的艺术表现形式，展现了深厚的文化底蕴和艺术家的创作理念，为观众提供了丰富的视觉体验和审美享受。</t>
        </is>
      </c>
      <c r="E178" t="inlineStr">
        <is>
          <t>TH-D65</t>
        </is>
      </c>
      <c r="F178">
        <f>_xlfn.DISPIMG("ID_02CC84D02F224DB08CE01A99C8F059FF",1)</f>
        <v/>
      </c>
      <c r="G178">
        <f>IF(ISNUMBER(FIND("的介绍",D178)),"墙面展签，印有展品名称“"&amp;LEFT(D178,FIND("的介绍",D178)-1)&amp;"”，无长文本。",D178)</f>
        <v/>
      </c>
    </row>
    <row r="179">
      <c r="A179" t="inlineStr">
        <is>
          <t>TH-D70</t>
        </is>
      </c>
      <c r="B179" t="inlineStr">
        <is>
          <t>风筝</t>
        </is>
      </c>
      <c r="C179" t="inlineStr">
        <is>
          <t>Exhibit</t>
        </is>
      </c>
      <c r="D179" t="inlineStr">
        <is>
          <t>祝大年创作的风筝主题大型装饰艺术长卷（成品稿/彩稿）这件作品通过独特的艺术表现形式，展现了深厚的文化底蕴和艺术家的创作理念，为观众提供了丰富的视觉体验和审美享受。</t>
        </is>
      </c>
      <c r="E179" t="inlineStr">
        <is>
          <t>TH-D62</t>
        </is>
      </c>
      <c r="F179">
        <f>_xlfn.DISPIMG("ID_6D920D96661A4539BBF6D14281EE7313",1)</f>
        <v/>
      </c>
      <c r="G179">
        <f>IF(ISNUMBER(FIND("的介绍",D179)),"墙面展签，印有展品名称“"&amp;LEFT(D179,FIND("的介绍",D179)-1)&amp;"”，无长文本。",D179)</f>
        <v/>
      </c>
    </row>
    <row r="180">
      <c r="A180" t="inlineStr">
        <is>
          <t>TH-D71</t>
        </is>
      </c>
      <c r="B180" t="inlineStr">
        <is>
          <t>山水</t>
        </is>
      </c>
      <c r="C180" t="inlineStr">
        <is>
          <t>Exhibit</t>
        </is>
      </c>
      <c r="D180" t="inlineStr">
        <is>
          <t>祝大年创作的山水主题钢笔画长卷写生稿这件作品通过独特的艺术表现形式，展现了深厚的文化底蕴和艺术家的创作理念，为观众提供了丰富的视觉体验和审美享受。</t>
        </is>
      </c>
      <c r="E180" t="inlineStr">
        <is>
          <t>TH-D35</t>
        </is>
      </c>
      <c r="F180">
        <f>_xlfn.DISPIMG("ID_D4E9D6EE2F544503B5F55B4203BDE8BD",1)</f>
        <v/>
      </c>
      <c r="G180">
        <f>IF(ISNUMBER(FIND("的介绍",D180)),"墙面展签，印有展品名称“"&amp;LEFT(D180,FIND("的介绍",D180)-1)&amp;"”，无长文本。",D180)</f>
        <v/>
      </c>
    </row>
    <row r="181">
      <c r="A181" t="inlineStr">
        <is>
          <t>TH-I-D72</t>
        </is>
      </c>
      <c r="B181" t="inlineStr">
        <is>
          <t>说明文字</t>
        </is>
      </c>
      <c r="C181" t="inlineStr">
        <is>
          <t>Text</t>
        </is>
      </c>
      <c r="D181" t="inlineStr">
        <is>
          <t>“千岛湖 Qiandao Lake
1980s……”这件作品通过独特的艺术表现形式，展现了深厚的文化底蕴和艺术家的创作理念，为观众提供了丰富的视觉体验和审美享受。</t>
        </is>
      </c>
      <c r="E181" t="inlineStr">
        <is>
          <t>TH-D35</t>
        </is>
      </c>
      <c r="F181">
        <f>_xlfn.DISPIMG("ID_9A50EE48CA834C28B60A9767833AF78E",1)</f>
        <v/>
      </c>
      <c r="G181">
        <f>IF(ISNUMBER(FIND("的介绍",D181)),"墙面展签，印有展品名称“"&amp;LEFT(D181,FIND("的介绍",D181)-1)&amp;"”，无长文本。",D181)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2026-02-05T16:56:10Z</dcterms:created>
  <dcterms:modified xsi:type="dcterms:W3CDTF">2026-02-05T16:56:10Z</dcterms:modified>
</cp:coreProperties>
</file>